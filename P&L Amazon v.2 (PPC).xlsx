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ходники" sheetId="1" r:id="rId5"/>
    <sheet state="visible" name="Inositol PPC" sheetId="2" r:id="rId6"/>
    <sheet state="visible" name="Magnesium PPC" sheetId="3" r:id="rId7"/>
    <sheet state="visible" name="Summary" sheetId="4" r:id="rId8"/>
    <sheet state="visible" name="Inputs" sheetId="5" r:id="rId9"/>
  </sheets>
  <definedNames/>
  <calcPr/>
</workbook>
</file>

<file path=xl/sharedStrings.xml><?xml version="1.0" encoding="utf-8"?>
<sst xmlns="http://schemas.openxmlformats.org/spreadsheetml/2006/main" count="135" uniqueCount="80">
  <si>
    <t>Копия Конкурентный анализ амазон (Виталий)</t>
  </si>
  <si>
    <t>выгрузка конкурентного листинга с амазон</t>
  </si>
  <si>
    <t>Metric</t>
  </si>
  <si>
    <t>Метрика</t>
  </si>
  <si>
    <t>Units Sold</t>
  </si>
  <si>
    <t>Ед. продано</t>
  </si>
  <si>
    <t>ASP</t>
  </si>
  <si>
    <t>Ср. цена</t>
  </si>
  <si>
    <t>COGS per unit</t>
  </si>
  <si>
    <t>Себестоимость</t>
  </si>
  <si>
    <t>Inbound per unit</t>
  </si>
  <si>
    <t>Pan-European Amazon комиссия</t>
  </si>
  <si>
    <t>FBA fee per unit</t>
  </si>
  <si>
    <t>Фулфилмент</t>
  </si>
  <si>
    <t>PPC % of Net Revenue</t>
  </si>
  <si>
    <t>ДДР</t>
  </si>
  <si>
    <t>Return Rate</t>
  </si>
  <si>
    <t>Процент возвратов</t>
  </si>
  <si>
    <t>Gross Revenue</t>
  </si>
  <si>
    <t>Гросс выручка</t>
  </si>
  <si>
    <t>Return Units</t>
  </si>
  <si>
    <t>Возвращено ед.</t>
  </si>
  <si>
    <t>Return Revenue Loss</t>
  </si>
  <si>
    <t>Списано на возвраты</t>
  </si>
  <si>
    <t>Net Revenue</t>
  </si>
  <si>
    <t>Нетт выручка</t>
  </si>
  <si>
    <t>COGS total</t>
  </si>
  <si>
    <t>Себестоимость итого</t>
  </si>
  <si>
    <t>Inbound total</t>
  </si>
  <si>
    <t>Pan-European Amazon итого</t>
  </si>
  <si>
    <t>FBA total</t>
  </si>
  <si>
    <t>Фулфилмент итого</t>
  </si>
  <si>
    <t>Storage total</t>
  </si>
  <si>
    <t>Хранение Амазон итого</t>
  </si>
  <si>
    <t>Refund loss total</t>
  </si>
  <si>
    <t>Итого за утилизацияю возвратов</t>
  </si>
  <si>
    <t>Referral fee</t>
  </si>
  <si>
    <t>Комиссия за продажу итого</t>
  </si>
  <si>
    <t>Variable Costs total</t>
  </si>
  <si>
    <t>Итого переменные</t>
  </si>
  <si>
    <t>Gross Profit</t>
  </si>
  <si>
    <t>Гросс прибыль</t>
  </si>
  <si>
    <t>PPC spend</t>
  </si>
  <si>
    <t>Расходы на продвижение итого</t>
  </si>
  <si>
    <t>Coupons cost</t>
  </si>
  <si>
    <t>Стомость купонов (скидки) итого</t>
  </si>
  <si>
    <t>Deals cost</t>
  </si>
  <si>
    <t>Стоимость участия в акциях итого</t>
  </si>
  <si>
    <t>Operating costs</t>
  </si>
  <si>
    <t>Операционные расходы итого</t>
  </si>
  <si>
    <t>Operating Profit</t>
  </si>
  <si>
    <t>Операционная прибыль итого</t>
  </si>
  <si>
    <t>Margin</t>
  </si>
  <si>
    <t>Маржинальность</t>
  </si>
  <si>
    <t>Stock</t>
  </si>
  <si>
    <t>Сток ед.</t>
  </si>
  <si>
    <t>Inositol</t>
  </si>
  <si>
    <t>Magnesium</t>
  </si>
  <si>
    <t>Probiotic qeep</t>
  </si>
  <si>
    <t>Retinol</t>
  </si>
  <si>
    <t>Probiotic Harly</t>
  </si>
  <si>
    <t>TOTAL</t>
  </si>
  <si>
    <t>Units Sold (year)</t>
  </si>
  <si>
    <t>Net Revenue (year)</t>
  </si>
  <si>
    <t>PPC spend (year)</t>
  </si>
  <si>
    <t>Operating Profit (year)</t>
  </si>
  <si>
    <t xml:space="preserve">Net Margin % </t>
  </si>
  <si>
    <t>Salaries (annual)</t>
  </si>
  <si>
    <t>Other OPEX (annual)</t>
  </si>
  <si>
    <t>Net Profit</t>
  </si>
  <si>
    <t>TACoS (PPC/Net Rev)</t>
  </si>
  <si>
    <t>Parameter</t>
  </si>
  <si>
    <t>Value</t>
  </si>
  <si>
    <t>Referral fee % of Net Revenue</t>
  </si>
  <si>
    <t>Storage fee per unit (period)</t>
  </si>
  <si>
    <t>Refund loss per returned unit</t>
  </si>
  <si>
    <t>Coupon % of Net Revenue</t>
  </si>
  <si>
    <t>Deals % of Net Revenue</t>
  </si>
  <si>
    <t>Salaries (fixed monthly)</t>
  </si>
  <si>
    <t>Other OPEX (fixed monthly)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</si>
</sst>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&quot;$&quot;#,##0.00"/>
  </numFmts>
  <fonts count="7">
    <font>
      <sz val="10.0"/>
      <color rgb="FF000000"/>
      <name val="Arial"/>
      <scheme val="minor"/>
    </font>
    <font>
      <u/>
      <color theme="1"/>
      <name val="Arial"/>
      <scheme val="minor"/>
    </font>
    <font>
      <color theme="1"/>
      <name val="Arial"/>
      <scheme val="minor"/>
    </font>
    <font>
      <b/>
      <color theme="1"/>
      <name val="JetBrains Mono"/>
    </font>
    <font>
      <color theme="1"/>
      <name val="JetBrains Mono"/>
    </font>
    <font>
      <i/>
      <color theme="1"/>
      <name val="JetBrains Mono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readingOrder="0"/>
    </xf>
    <xf borderId="0" fillId="3" fontId="4" numFmtId="3" xfId="0" applyAlignment="1" applyFill="1" applyFont="1" applyNumberFormat="1">
      <alignment readingOrder="0"/>
    </xf>
    <xf borderId="0" fillId="3" fontId="4" numFmtId="3" xfId="0" applyAlignment="1" applyFont="1" applyNumberFormat="1">
      <alignment readingOrder="0"/>
    </xf>
    <xf borderId="0" fillId="0" fontId="2" numFmtId="4" xfId="0" applyFont="1" applyNumberFormat="1"/>
    <xf borderId="0" fillId="0" fontId="2" numFmtId="10" xfId="0" applyFont="1" applyNumberFormat="1"/>
    <xf borderId="0" fillId="0" fontId="2" numFmtId="3" xfId="0" applyFont="1" applyNumberFormat="1"/>
    <xf borderId="0" fillId="0" fontId="4" numFmtId="164" xfId="0" applyAlignment="1" applyFont="1" applyNumberFormat="1">
      <alignment readingOrder="0"/>
    </xf>
    <xf borderId="0" fillId="3" fontId="4" numFmtId="4" xfId="0" applyAlignment="1" applyFont="1" applyNumberFormat="1">
      <alignment readingOrder="0"/>
    </xf>
    <xf borderId="0" fillId="0" fontId="2" numFmtId="164" xfId="0" applyFont="1" applyNumberFormat="1"/>
    <xf borderId="0" fillId="0" fontId="4" numFmtId="9" xfId="0" applyAlignment="1" applyFont="1" applyNumberFormat="1">
      <alignment readingOrder="0"/>
    </xf>
    <xf borderId="0" fillId="3" fontId="4" numFmtId="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Font="1" applyNumberFormat="1"/>
    <xf borderId="0" fillId="0" fontId="4" numFmtId="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4" numFmtId="3" xfId="0" applyFont="1" applyNumberFormat="1"/>
    <xf borderId="0" fillId="0" fontId="4" numFmtId="3" xfId="0" applyAlignment="1" applyFont="1" applyNumberFormat="1">
      <alignment readingOrder="0"/>
    </xf>
    <xf borderId="0" fillId="0" fontId="4" numFmtId="3" xfId="0" applyFont="1" applyNumberFormat="1"/>
    <xf borderId="0" fillId="0" fontId="4" numFmtId="9" xfId="0" applyFont="1" applyNumberFormat="1"/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6" numFmtId="3" xfId="0" applyFont="1" applyNumberFormat="1"/>
    <xf borderId="0" fillId="0" fontId="4" numFmtId="165" xfId="0" applyFont="1" applyNumberFormat="1"/>
    <xf borderId="0" fillId="0" fontId="4" numFmtId="10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sZXb_XGSo0YlqMbTpVPsF-Ovgt3Dk5PXexl092WU7M/edit?usp=shar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8.75"/>
    <col customWidth="1" min="3" max="14" width="11.38"/>
  </cols>
  <sheetData>
    <row r="1">
      <c r="A1" s="3" t="s">
        <v>2</v>
      </c>
      <c r="B1" s="3" t="s">
        <v>3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</row>
    <row r="2">
      <c r="A2" s="4" t="s">
        <v>4</v>
      </c>
      <c r="B2" s="5" t="s">
        <v>5</v>
      </c>
      <c r="C2" s="6">
        <v>50.0</v>
      </c>
      <c r="D2" s="6">
        <v>100.0</v>
      </c>
      <c r="E2" s="6">
        <v>200.0</v>
      </c>
      <c r="F2" s="6">
        <v>200.0</v>
      </c>
      <c r="G2" s="6">
        <v>300.0</v>
      </c>
      <c r="H2" s="6">
        <v>300.0</v>
      </c>
      <c r="I2" s="6">
        <v>400.0</v>
      </c>
      <c r="J2" s="6">
        <v>400.0</v>
      </c>
      <c r="K2" s="6">
        <v>500.0</v>
      </c>
      <c r="L2" s="6">
        <v>500.0</v>
      </c>
      <c r="M2" s="6">
        <v>600.0</v>
      </c>
      <c r="N2" s="6">
        <v>600.0</v>
      </c>
    </row>
    <row r="3">
      <c r="A3" s="5" t="s">
        <v>6</v>
      </c>
      <c r="B3" s="5" t="s">
        <v>7</v>
      </c>
      <c r="C3" s="7">
        <v>16.0</v>
      </c>
      <c r="D3" s="7">
        <v>16.0</v>
      </c>
      <c r="E3" s="7">
        <v>16.0</v>
      </c>
      <c r="F3" s="7">
        <v>16.0</v>
      </c>
      <c r="G3" s="7">
        <v>16.0</v>
      </c>
      <c r="H3" s="7">
        <v>16.0</v>
      </c>
      <c r="I3" s="7">
        <v>17.0</v>
      </c>
      <c r="J3" s="7">
        <v>17.0</v>
      </c>
      <c r="K3" s="7">
        <v>17.0</v>
      </c>
      <c r="L3" s="7">
        <v>17.0</v>
      </c>
      <c r="M3" s="7">
        <v>17.0</v>
      </c>
      <c r="N3" s="7">
        <v>17.0</v>
      </c>
      <c r="O3" s="8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1" t="s">
        <v>8</v>
      </c>
      <c r="B4" s="5" t="s">
        <v>9</v>
      </c>
      <c r="C4" s="12">
        <f t="shared" ref="C4:N4" si="1">3.65+0.25</f>
        <v>3.9</v>
      </c>
      <c r="D4" s="12">
        <f t="shared" si="1"/>
        <v>3.9</v>
      </c>
      <c r="E4" s="12">
        <f t="shared" si="1"/>
        <v>3.9</v>
      </c>
      <c r="F4" s="12">
        <f t="shared" si="1"/>
        <v>3.9</v>
      </c>
      <c r="G4" s="12">
        <f t="shared" si="1"/>
        <v>3.9</v>
      </c>
      <c r="H4" s="12">
        <f t="shared" si="1"/>
        <v>3.9</v>
      </c>
      <c r="I4" s="12">
        <f t="shared" si="1"/>
        <v>3.9</v>
      </c>
      <c r="J4" s="12">
        <f t="shared" si="1"/>
        <v>3.9</v>
      </c>
      <c r="K4" s="12">
        <f t="shared" si="1"/>
        <v>3.9</v>
      </c>
      <c r="L4" s="12">
        <f t="shared" si="1"/>
        <v>3.9</v>
      </c>
      <c r="M4" s="12">
        <f t="shared" si="1"/>
        <v>3.9</v>
      </c>
      <c r="N4" s="12">
        <f t="shared" si="1"/>
        <v>3.9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4" t="s">
        <v>10</v>
      </c>
      <c r="B5" s="5" t="s">
        <v>11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A6" s="18" t="s">
        <v>12</v>
      </c>
      <c r="B6" s="5" t="s">
        <v>13</v>
      </c>
      <c r="C6" s="12">
        <v>3.29</v>
      </c>
      <c r="D6" s="12">
        <v>3.29</v>
      </c>
      <c r="E6" s="12">
        <v>3.29</v>
      </c>
      <c r="F6" s="12">
        <v>3.29</v>
      </c>
      <c r="G6" s="12">
        <v>3.29</v>
      </c>
      <c r="H6" s="12">
        <v>3.29</v>
      </c>
      <c r="I6" s="12">
        <v>3.29</v>
      </c>
      <c r="J6" s="12">
        <v>3.29</v>
      </c>
      <c r="K6" s="12">
        <v>3.29</v>
      </c>
      <c r="L6" s="12">
        <v>3.29</v>
      </c>
      <c r="M6" s="12">
        <v>3.29</v>
      </c>
      <c r="N6" s="12">
        <v>3.29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4" t="s">
        <v>14</v>
      </c>
      <c r="B7" s="5" t="s">
        <v>15</v>
      </c>
      <c r="C7" s="15">
        <v>0.8</v>
      </c>
      <c r="D7" s="15">
        <v>0.7</v>
      </c>
      <c r="E7" s="15">
        <v>0.6</v>
      </c>
      <c r="F7" s="15">
        <v>0.6</v>
      </c>
      <c r="G7" s="15">
        <v>0.5</v>
      </c>
      <c r="H7" s="15">
        <v>0.4</v>
      </c>
      <c r="I7" s="15">
        <v>0.4</v>
      </c>
      <c r="J7" s="15">
        <v>0.3</v>
      </c>
      <c r="K7" s="15">
        <v>0.3</v>
      </c>
      <c r="L7" s="15">
        <v>0.3</v>
      </c>
      <c r="M7" s="15">
        <v>0.3</v>
      </c>
      <c r="N7" s="15">
        <v>0.3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14" t="s">
        <v>16</v>
      </c>
      <c r="B8" s="5" t="s">
        <v>17</v>
      </c>
      <c r="C8" s="15">
        <v>0.01</v>
      </c>
      <c r="D8" s="15">
        <v>0.01</v>
      </c>
      <c r="E8" s="15">
        <v>0.01</v>
      </c>
      <c r="F8" s="15">
        <v>0.01</v>
      </c>
      <c r="G8" s="15">
        <v>0.01</v>
      </c>
      <c r="H8" s="15">
        <v>0.01</v>
      </c>
      <c r="I8" s="15">
        <v>0.01</v>
      </c>
      <c r="J8" s="15">
        <v>0.01</v>
      </c>
      <c r="K8" s="15">
        <v>0.01</v>
      </c>
      <c r="L8" s="15">
        <v>0.01</v>
      </c>
      <c r="M8" s="15">
        <v>0.01</v>
      </c>
      <c r="N8" s="15">
        <v>0.01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19" t="s">
        <v>18</v>
      </c>
      <c r="B9" s="19" t="s">
        <v>19</v>
      </c>
      <c r="C9" s="20">
        <f t="shared" ref="C9:N9" si="2">C2*C3</f>
        <v>800</v>
      </c>
      <c r="D9" s="20">
        <f t="shared" si="2"/>
        <v>1600</v>
      </c>
      <c r="E9" s="20">
        <f t="shared" si="2"/>
        <v>3200</v>
      </c>
      <c r="F9" s="20">
        <f t="shared" si="2"/>
        <v>3200</v>
      </c>
      <c r="G9" s="20">
        <f t="shared" si="2"/>
        <v>4800</v>
      </c>
      <c r="H9" s="20">
        <f t="shared" si="2"/>
        <v>4800</v>
      </c>
      <c r="I9" s="20">
        <f t="shared" si="2"/>
        <v>6800</v>
      </c>
      <c r="J9" s="20">
        <f t="shared" si="2"/>
        <v>6800</v>
      </c>
      <c r="K9" s="20">
        <f t="shared" si="2"/>
        <v>8500</v>
      </c>
      <c r="L9" s="20">
        <f t="shared" si="2"/>
        <v>8500</v>
      </c>
      <c r="M9" s="20">
        <f t="shared" si="2"/>
        <v>10200</v>
      </c>
      <c r="N9" s="20">
        <f t="shared" si="2"/>
        <v>10200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4" t="s">
        <v>20</v>
      </c>
      <c r="B10" s="21" t="s">
        <v>21</v>
      </c>
      <c r="C10" s="22">
        <f t="shared" ref="C10:N10" si="3">C2*C8</f>
        <v>0.5</v>
      </c>
      <c r="D10" s="22">
        <f t="shared" si="3"/>
        <v>1</v>
      </c>
      <c r="E10" s="22">
        <f t="shared" si="3"/>
        <v>2</v>
      </c>
      <c r="F10" s="22">
        <f t="shared" si="3"/>
        <v>2</v>
      </c>
      <c r="G10" s="22">
        <f t="shared" si="3"/>
        <v>3</v>
      </c>
      <c r="H10" s="22">
        <f t="shared" si="3"/>
        <v>3</v>
      </c>
      <c r="I10" s="22">
        <f t="shared" si="3"/>
        <v>4</v>
      </c>
      <c r="J10" s="22">
        <f t="shared" si="3"/>
        <v>4</v>
      </c>
      <c r="K10" s="22">
        <f t="shared" si="3"/>
        <v>5</v>
      </c>
      <c r="L10" s="22">
        <f t="shared" si="3"/>
        <v>5</v>
      </c>
      <c r="M10" s="22">
        <f t="shared" si="3"/>
        <v>6</v>
      </c>
      <c r="N10" s="22">
        <f t="shared" si="3"/>
        <v>6</v>
      </c>
    </row>
    <row r="11">
      <c r="A11" s="5" t="s">
        <v>22</v>
      </c>
      <c r="B11" s="5" t="s">
        <v>23</v>
      </c>
      <c r="C11" s="20">
        <f t="shared" ref="C11:N11" si="4">C10*C3</f>
        <v>8</v>
      </c>
      <c r="D11" s="20">
        <f t="shared" si="4"/>
        <v>16</v>
      </c>
      <c r="E11" s="20">
        <f t="shared" si="4"/>
        <v>32</v>
      </c>
      <c r="F11" s="20">
        <f t="shared" si="4"/>
        <v>32</v>
      </c>
      <c r="G11" s="20">
        <f t="shared" si="4"/>
        <v>48</v>
      </c>
      <c r="H11" s="20">
        <f t="shared" si="4"/>
        <v>48</v>
      </c>
      <c r="I11" s="20">
        <f t="shared" si="4"/>
        <v>68</v>
      </c>
      <c r="J11" s="20">
        <f t="shared" si="4"/>
        <v>68</v>
      </c>
      <c r="K11" s="20">
        <f t="shared" si="4"/>
        <v>85</v>
      </c>
      <c r="L11" s="20">
        <f t="shared" si="4"/>
        <v>85</v>
      </c>
      <c r="M11" s="20">
        <f t="shared" si="4"/>
        <v>102</v>
      </c>
      <c r="N11" s="20">
        <f t="shared" si="4"/>
        <v>102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9" t="s">
        <v>24</v>
      </c>
      <c r="B12" s="19" t="s">
        <v>25</v>
      </c>
      <c r="C12" s="20">
        <f t="shared" ref="C12:N12" si="5">C9-C11</f>
        <v>792</v>
      </c>
      <c r="D12" s="20">
        <f t="shared" si="5"/>
        <v>1584</v>
      </c>
      <c r="E12" s="20">
        <f t="shared" si="5"/>
        <v>3168</v>
      </c>
      <c r="F12" s="20">
        <f t="shared" si="5"/>
        <v>3168</v>
      </c>
      <c r="G12" s="20">
        <f t="shared" si="5"/>
        <v>4752</v>
      </c>
      <c r="H12" s="20">
        <f t="shared" si="5"/>
        <v>4752</v>
      </c>
      <c r="I12" s="20">
        <f t="shared" si="5"/>
        <v>6732</v>
      </c>
      <c r="J12" s="20">
        <f t="shared" si="5"/>
        <v>6732</v>
      </c>
      <c r="K12" s="20">
        <f t="shared" si="5"/>
        <v>8415</v>
      </c>
      <c r="L12" s="20">
        <f t="shared" si="5"/>
        <v>8415</v>
      </c>
      <c r="M12" s="20">
        <f t="shared" si="5"/>
        <v>10098</v>
      </c>
      <c r="N12" s="20">
        <f t="shared" si="5"/>
        <v>10098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5" t="s">
        <v>26</v>
      </c>
      <c r="B13" s="5" t="s">
        <v>27</v>
      </c>
      <c r="C13" s="20">
        <f t="shared" ref="C13:N13" si="6">C2*C4</f>
        <v>195</v>
      </c>
      <c r="D13" s="20">
        <f t="shared" si="6"/>
        <v>390</v>
      </c>
      <c r="E13" s="20">
        <f t="shared" si="6"/>
        <v>780</v>
      </c>
      <c r="F13" s="20">
        <f t="shared" si="6"/>
        <v>780</v>
      </c>
      <c r="G13" s="20">
        <f t="shared" si="6"/>
        <v>1170</v>
      </c>
      <c r="H13" s="20">
        <f t="shared" si="6"/>
        <v>1170</v>
      </c>
      <c r="I13" s="20">
        <f t="shared" si="6"/>
        <v>1560</v>
      </c>
      <c r="J13" s="20">
        <f t="shared" si="6"/>
        <v>1560</v>
      </c>
      <c r="K13" s="20">
        <f t="shared" si="6"/>
        <v>1950</v>
      </c>
      <c r="L13" s="20">
        <f t="shared" si="6"/>
        <v>1950</v>
      </c>
      <c r="M13" s="20">
        <f t="shared" si="6"/>
        <v>2340</v>
      </c>
      <c r="N13" s="20">
        <f t="shared" si="6"/>
        <v>2340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5" t="s">
        <v>28</v>
      </c>
      <c r="B14" s="5" t="s">
        <v>29</v>
      </c>
      <c r="C14" s="20">
        <f t="shared" ref="C14:N14" si="7">C9*C5</f>
        <v>0</v>
      </c>
      <c r="D14" s="20">
        <f t="shared" si="7"/>
        <v>0</v>
      </c>
      <c r="E14" s="20">
        <f t="shared" si="7"/>
        <v>0</v>
      </c>
      <c r="F14" s="20">
        <f t="shared" si="7"/>
        <v>0</v>
      </c>
      <c r="G14" s="20">
        <f t="shared" si="7"/>
        <v>0</v>
      </c>
      <c r="H14" s="20">
        <f t="shared" si="7"/>
        <v>0</v>
      </c>
      <c r="I14" s="20">
        <f t="shared" si="7"/>
        <v>0</v>
      </c>
      <c r="J14" s="20">
        <f t="shared" si="7"/>
        <v>0</v>
      </c>
      <c r="K14" s="20">
        <f t="shared" si="7"/>
        <v>0</v>
      </c>
      <c r="L14" s="20">
        <f t="shared" si="7"/>
        <v>0</v>
      </c>
      <c r="M14" s="20">
        <f t="shared" si="7"/>
        <v>0</v>
      </c>
      <c r="N14" s="20">
        <f t="shared" si="7"/>
        <v>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5" t="s">
        <v>30</v>
      </c>
      <c r="B15" s="5" t="s">
        <v>31</v>
      </c>
      <c r="C15" s="20">
        <f t="shared" ref="C15:N15" si="8">C2*C6</f>
        <v>164.5</v>
      </c>
      <c r="D15" s="20">
        <f t="shared" si="8"/>
        <v>329</v>
      </c>
      <c r="E15" s="20">
        <f t="shared" si="8"/>
        <v>658</v>
      </c>
      <c r="F15" s="20">
        <f t="shared" si="8"/>
        <v>658</v>
      </c>
      <c r="G15" s="20">
        <f t="shared" si="8"/>
        <v>987</v>
      </c>
      <c r="H15" s="20">
        <f t="shared" si="8"/>
        <v>987</v>
      </c>
      <c r="I15" s="20">
        <f t="shared" si="8"/>
        <v>1316</v>
      </c>
      <c r="J15" s="20">
        <f t="shared" si="8"/>
        <v>1316</v>
      </c>
      <c r="K15" s="20">
        <f t="shared" si="8"/>
        <v>1645</v>
      </c>
      <c r="L15" s="20">
        <f t="shared" si="8"/>
        <v>1645</v>
      </c>
      <c r="M15" s="20">
        <f t="shared" si="8"/>
        <v>1974</v>
      </c>
      <c r="N15" s="20">
        <f t="shared" si="8"/>
        <v>1974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5" t="s">
        <v>32</v>
      </c>
      <c r="B16" s="18" t="s">
        <v>33</v>
      </c>
      <c r="C16" s="5">
        <f>C27*Inputs!$B$3</f>
        <v>500</v>
      </c>
      <c r="D16" s="5">
        <f>D27*Inputs!$B$3</f>
        <v>475</v>
      </c>
      <c r="E16" s="5">
        <f>E27*Inputs!$B$3</f>
        <v>425</v>
      </c>
      <c r="F16" s="5">
        <f>F27*Inputs!$B$3</f>
        <v>325</v>
      </c>
      <c r="G16" s="5">
        <f>G27*Inputs!$B$3</f>
        <v>225</v>
      </c>
      <c r="H16" s="5">
        <f>H27*Inputs!$B$3</f>
        <v>75</v>
      </c>
      <c r="I16" s="5">
        <f>I27*Inputs!$B$3</f>
        <v>425</v>
      </c>
      <c r="J16" s="5">
        <f>J27*Inputs!$B$3</f>
        <v>225</v>
      </c>
      <c r="K16" s="5">
        <f>K27*Inputs!$B$3</f>
        <v>1025</v>
      </c>
      <c r="L16" s="5">
        <f>L27*Inputs!$B$3</f>
        <v>775</v>
      </c>
      <c r="M16" s="5">
        <f>M27*Inputs!$B$3</f>
        <v>525</v>
      </c>
      <c r="N16" s="5">
        <f>N27*Inputs!$B$3</f>
        <v>225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5" t="s">
        <v>34</v>
      </c>
      <c r="B17" s="5" t="s">
        <v>35</v>
      </c>
      <c r="C17" s="20">
        <f>C10*Inputs!$B$4</f>
        <v>0.5</v>
      </c>
      <c r="D17" s="20">
        <f>D10*Inputs!$B$4</f>
        <v>1</v>
      </c>
      <c r="E17" s="20">
        <f>E10*Inputs!$B$4</f>
        <v>2</v>
      </c>
      <c r="F17" s="20">
        <f>F10*Inputs!$B$4</f>
        <v>2</v>
      </c>
      <c r="G17" s="20">
        <f>G10*Inputs!$B$4</f>
        <v>3</v>
      </c>
      <c r="H17" s="20">
        <f>H10*Inputs!$B$4</f>
        <v>3</v>
      </c>
      <c r="I17" s="20">
        <f>I10*Inputs!$B$4</f>
        <v>4</v>
      </c>
      <c r="J17" s="20">
        <f>J10*Inputs!$B$4</f>
        <v>4</v>
      </c>
      <c r="K17" s="20">
        <f>K10*Inputs!$B$4</f>
        <v>5</v>
      </c>
      <c r="L17" s="20">
        <f>L10*Inputs!$B$4</f>
        <v>5</v>
      </c>
      <c r="M17" s="20">
        <f>M10*Inputs!$B$4</f>
        <v>6</v>
      </c>
      <c r="N17" s="20">
        <f>N10*Inputs!$B$4</f>
        <v>6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5" t="s">
        <v>36</v>
      </c>
      <c r="B18" s="5" t="s">
        <v>37</v>
      </c>
      <c r="C18" s="20">
        <f>Inputs!$B$2*C12</f>
        <v>118.8</v>
      </c>
      <c r="D18" s="20">
        <f>Inputs!$B$2*D12</f>
        <v>237.6</v>
      </c>
      <c r="E18" s="20">
        <f>Inputs!$B$2*E12</f>
        <v>475.2</v>
      </c>
      <c r="F18" s="20">
        <f>Inputs!$B$2*F12</f>
        <v>475.2</v>
      </c>
      <c r="G18" s="20">
        <f>Inputs!$B$2*G12</f>
        <v>712.8</v>
      </c>
      <c r="H18" s="20">
        <f>Inputs!$B$2*H12</f>
        <v>712.8</v>
      </c>
      <c r="I18" s="20">
        <f>Inputs!$B$2*I12</f>
        <v>1009.8</v>
      </c>
      <c r="J18" s="20">
        <f>Inputs!$B$2*J12</f>
        <v>1009.8</v>
      </c>
      <c r="K18" s="20">
        <f>Inputs!$B$2*K12</f>
        <v>1262.25</v>
      </c>
      <c r="L18" s="20">
        <f>Inputs!$B$2*L12</f>
        <v>1262.25</v>
      </c>
      <c r="M18" s="20">
        <f>Inputs!$B$2*M12</f>
        <v>1514.7</v>
      </c>
      <c r="N18" s="20">
        <f>Inputs!$B$2*N12</f>
        <v>1514.7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5" t="s">
        <v>38</v>
      </c>
      <c r="B19" s="5" t="s">
        <v>39</v>
      </c>
      <c r="C19" s="20">
        <f t="shared" ref="C19:N19" si="9">SUM(C13:C18)</f>
        <v>978.8</v>
      </c>
      <c r="D19" s="20">
        <f t="shared" si="9"/>
        <v>1432.6</v>
      </c>
      <c r="E19" s="20">
        <f t="shared" si="9"/>
        <v>2340.2</v>
      </c>
      <c r="F19" s="20">
        <f t="shared" si="9"/>
        <v>2240.2</v>
      </c>
      <c r="G19" s="20">
        <f t="shared" si="9"/>
        <v>3097.8</v>
      </c>
      <c r="H19" s="20">
        <f t="shared" si="9"/>
        <v>2947.8</v>
      </c>
      <c r="I19" s="20">
        <f t="shared" si="9"/>
        <v>4314.8</v>
      </c>
      <c r="J19" s="20">
        <f t="shared" si="9"/>
        <v>4114.8</v>
      </c>
      <c r="K19" s="20">
        <f t="shared" si="9"/>
        <v>5887.25</v>
      </c>
      <c r="L19" s="20">
        <f t="shared" si="9"/>
        <v>5637.25</v>
      </c>
      <c r="M19" s="20">
        <f t="shared" si="9"/>
        <v>6359.7</v>
      </c>
      <c r="N19" s="20">
        <f t="shared" si="9"/>
        <v>6059.7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9" t="s">
        <v>40</v>
      </c>
      <c r="B20" s="19" t="s">
        <v>41</v>
      </c>
      <c r="C20" s="20">
        <f t="shared" ref="C20:N20" si="10">C12-C19</f>
        <v>-186.8</v>
      </c>
      <c r="D20" s="20">
        <f t="shared" si="10"/>
        <v>151.4</v>
      </c>
      <c r="E20" s="20">
        <f t="shared" si="10"/>
        <v>827.8</v>
      </c>
      <c r="F20" s="20">
        <f t="shared" si="10"/>
        <v>927.8</v>
      </c>
      <c r="G20" s="20">
        <f t="shared" si="10"/>
        <v>1654.2</v>
      </c>
      <c r="H20" s="20">
        <f t="shared" si="10"/>
        <v>1804.2</v>
      </c>
      <c r="I20" s="20">
        <f t="shared" si="10"/>
        <v>2417.2</v>
      </c>
      <c r="J20" s="20">
        <f t="shared" si="10"/>
        <v>2617.2</v>
      </c>
      <c r="K20" s="20">
        <f t="shared" si="10"/>
        <v>2527.75</v>
      </c>
      <c r="L20" s="20">
        <f t="shared" si="10"/>
        <v>2777.75</v>
      </c>
      <c r="M20" s="20">
        <f t="shared" si="10"/>
        <v>3738.3</v>
      </c>
      <c r="N20" s="20">
        <f t="shared" si="10"/>
        <v>4038.3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5" t="s">
        <v>42</v>
      </c>
      <c r="B21" s="5" t="s">
        <v>43</v>
      </c>
      <c r="C21" s="20">
        <f t="shared" ref="C21:N21" si="11">C7*C12</f>
        <v>633.6</v>
      </c>
      <c r="D21" s="20">
        <f t="shared" si="11"/>
        <v>1108.8</v>
      </c>
      <c r="E21" s="20">
        <f t="shared" si="11"/>
        <v>1900.8</v>
      </c>
      <c r="F21" s="20">
        <f t="shared" si="11"/>
        <v>1900.8</v>
      </c>
      <c r="G21" s="20">
        <f t="shared" si="11"/>
        <v>2376</v>
      </c>
      <c r="H21" s="20">
        <f t="shared" si="11"/>
        <v>1900.8</v>
      </c>
      <c r="I21" s="20">
        <f t="shared" si="11"/>
        <v>2692.8</v>
      </c>
      <c r="J21" s="20">
        <f t="shared" si="11"/>
        <v>2019.6</v>
      </c>
      <c r="K21" s="20">
        <f t="shared" si="11"/>
        <v>2524.5</v>
      </c>
      <c r="L21" s="20">
        <f t="shared" si="11"/>
        <v>2524.5</v>
      </c>
      <c r="M21" s="20">
        <f t="shared" si="11"/>
        <v>3029.4</v>
      </c>
      <c r="N21" s="20">
        <f t="shared" si="11"/>
        <v>3029.4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5" t="s">
        <v>44</v>
      </c>
      <c r="B22" s="5" t="s">
        <v>45</v>
      </c>
      <c r="C22" s="20">
        <f>Inputs!$B$5*C12</f>
        <v>55.44</v>
      </c>
      <c r="D22" s="20">
        <f>Inputs!$B$5*D12</f>
        <v>110.88</v>
      </c>
      <c r="E22" s="20">
        <f>Inputs!$B$5*E12</f>
        <v>221.76</v>
      </c>
      <c r="F22" s="20">
        <f>Inputs!$B$5*F12</f>
        <v>221.76</v>
      </c>
      <c r="G22" s="20">
        <f>Inputs!$B$5*G12</f>
        <v>332.64</v>
      </c>
      <c r="H22" s="20">
        <f>Inputs!$B$5*H12</f>
        <v>332.64</v>
      </c>
      <c r="I22" s="20">
        <f>Inputs!$B$5*I12</f>
        <v>471.24</v>
      </c>
      <c r="J22" s="20">
        <f>Inputs!$B$5*J12</f>
        <v>471.24</v>
      </c>
      <c r="K22" s="20">
        <f>Inputs!$B$5*K12</f>
        <v>589.05</v>
      </c>
      <c r="L22" s="20">
        <f>Inputs!$B$5*L12</f>
        <v>589.05</v>
      </c>
      <c r="M22" s="20">
        <f>Inputs!$B$5*M12</f>
        <v>706.86</v>
      </c>
      <c r="N22" s="20">
        <f>Inputs!$B$5*N12</f>
        <v>706.86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5" t="s">
        <v>46</v>
      </c>
      <c r="B23" s="5" t="s">
        <v>47</v>
      </c>
      <c r="C23" s="20"/>
      <c r="D23" s="20"/>
      <c r="E23" s="20"/>
      <c r="F23" s="20"/>
      <c r="G23" s="20"/>
      <c r="H23" s="20"/>
      <c r="I23" s="20">
        <f>Inputs!$B$6*I12</f>
        <v>471.24</v>
      </c>
      <c r="J23" s="20">
        <f>Inputs!$B$6*J12</f>
        <v>471.24</v>
      </c>
      <c r="K23" s="20">
        <f>Inputs!$B$6*K12</f>
        <v>589.05</v>
      </c>
      <c r="L23" s="20">
        <f>Inputs!$B$6*L12</f>
        <v>589.05</v>
      </c>
      <c r="M23" s="20">
        <f>Inputs!$B$6*M12</f>
        <v>706.86</v>
      </c>
      <c r="N23" s="20">
        <f>Inputs!$B$6*N12</f>
        <v>706.86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5" t="s">
        <v>48</v>
      </c>
      <c r="B24" s="5" t="s">
        <v>49</v>
      </c>
      <c r="C24" s="20">
        <f t="shared" ref="C24:N24" si="12">SUM(C21:C23)</f>
        <v>689.04</v>
      </c>
      <c r="D24" s="20">
        <f t="shared" si="12"/>
        <v>1219.68</v>
      </c>
      <c r="E24" s="20">
        <f t="shared" si="12"/>
        <v>2122.56</v>
      </c>
      <c r="F24" s="20">
        <f t="shared" si="12"/>
        <v>2122.56</v>
      </c>
      <c r="G24" s="20">
        <f t="shared" si="12"/>
        <v>2708.64</v>
      </c>
      <c r="H24" s="20">
        <f t="shared" si="12"/>
        <v>2233.44</v>
      </c>
      <c r="I24" s="20">
        <f t="shared" si="12"/>
        <v>3635.28</v>
      </c>
      <c r="J24" s="20">
        <f t="shared" si="12"/>
        <v>2962.08</v>
      </c>
      <c r="K24" s="20">
        <f t="shared" si="12"/>
        <v>3702.6</v>
      </c>
      <c r="L24" s="20">
        <f t="shared" si="12"/>
        <v>3702.6</v>
      </c>
      <c r="M24" s="20">
        <f t="shared" si="12"/>
        <v>4443.12</v>
      </c>
      <c r="N24" s="20">
        <f t="shared" si="12"/>
        <v>4443.12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9" t="s">
        <v>50</v>
      </c>
      <c r="B25" s="19" t="s">
        <v>51</v>
      </c>
      <c r="C25" s="20">
        <f t="shared" ref="C25:N25" si="13">C20-C24</f>
        <v>-875.84</v>
      </c>
      <c r="D25" s="20">
        <f t="shared" si="13"/>
        <v>-1068.28</v>
      </c>
      <c r="E25" s="20">
        <f t="shared" si="13"/>
        <v>-1294.76</v>
      </c>
      <c r="F25" s="20">
        <f t="shared" si="13"/>
        <v>-1194.76</v>
      </c>
      <c r="G25" s="20">
        <f t="shared" si="13"/>
        <v>-1054.44</v>
      </c>
      <c r="H25" s="20">
        <f t="shared" si="13"/>
        <v>-429.24</v>
      </c>
      <c r="I25" s="20">
        <f t="shared" si="13"/>
        <v>-1218.08</v>
      </c>
      <c r="J25" s="20">
        <f t="shared" si="13"/>
        <v>-344.88</v>
      </c>
      <c r="K25" s="20">
        <f t="shared" si="13"/>
        <v>-1174.85</v>
      </c>
      <c r="L25" s="20">
        <f t="shared" si="13"/>
        <v>-924.85</v>
      </c>
      <c r="M25" s="20">
        <f t="shared" si="13"/>
        <v>-704.82</v>
      </c>
      <c r="N25" s="20">
        <f t="shared" si="13"/>
        <v>-404.82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5" t="s">
        <v>52</v>
      </c>
      <c r="B26" s="4" t="s">
        <v>53</v>
      </c>
      <c r="C26" s="23">
        <f t="shared" ref="C26:N26" si="14">C25/C9</f>
        <v>-1.0948</v>
      </c>
      <c r="D26" s="23">
        <f t="shared" si="14"/>
        <v>-0.667675</v>
      </c>
      <c r="E26" s="23">
        <f t="shared" si="14"/>
        <v>-0.4046125</v>
      </c>
      <c r="F26" s="23">
        <f t="shared" si="14"/>
        <v>-0.3733625</v>
      </c>
      <c r="G26" s="23">
        <f t="shared" si="14"/>
        <v>-0.219675</v>
      </c>
      <c r="H26" s="23">
        <f t="shared" si="14"/>
        <v>-0.089425</v>
      </c>
      <c r="I26" s="23">
        <f t="shared" si="14"/>
        <v>-0.1791294118</v>
      </c>
      <c r="J26" s="23">
        <f t="shared" si="14"/>
        <v>-0.05071764706</v>
      </c>
      <c r="K26" s="23">
        <f t="shared" si="14"/>
        <v>-0.1382176471</v>
      </c>
      <c r="L26" s="23">
        <f t="shared" si="14"/>
        <v>-0.1088058824</v>
      </c>
      <c r="M26" s="23">
        <f t="shared" si="14"/>
        <v>-0.0691</v>
      </c>
      <c r="N26" s="23">
        <f t="shared" si="14"/>
        <v>-0.03968823529</v>
      </c>
    </row>
    <row r="27">
      <c r="A27" s="24" t="s">
        <v>54</v>
      </c>
      <c r="B27" s="24" t="s">
        <v>55</v>
      </c>
      <c r="C27" s="24">
        <v>1000.0</v>
      </c>
      <c r="D27" s="25">
        <f t="shared" ref="D27:H27" si="15">C27-C2</f>
        <v>950</v>
      </c>
      <c r="E27" s="25">
        <f t="shared" si="15"/>
        <v>850</v>
      </c>
      <c r="F27" s="25">
        <f t="shared" si="15"/>
        <v>650</v>
      </c>
      <c r="G27" s="25">
        <f t="shared" si="15"/>
        <v>450</v>
      </c>
      <c r="H27" s="25">
        <f t="shared" si="15"/>
        <v>150</v>
      </c>
      <c r="I27" s="25">
        <f>1000+H27-H2</f>
        <v>850</v>
      </c>
      <c r="J27" s="25">
        <f>I27-I2</f>
        <v>450</v>
      </c>
      <c r="K27" s="25">
        <f>2000+J27-J2</f>
        <v>2050</v>
      </c>
      <c r="L27" s="25">
        <f t="shared" ref="L27:N27" si="16">K27-K2</f>
        <v>1550</v>
      </c>
      <c r="M27" s="25">
        <f t="shared" si="16"/>
        <v>1050</v>
      </c>
      <c r="N27" s="25">
        <f t="shared" si="16"/>
        <v>450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7.13"/>
    <col customWidth="1" min="3" max="14" width="11.38"/>
  </cols>
  <sheetData>
    <row r="1">
      <c r="A1" s="3" t="s">
        <v>2</v>
      </c>
      <c r="B1" s="3" t="s">
        <v>3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</row>
    <row r="2">
      <c r="A2" s="4" t="s">
        <v>4</v>
      </c>
      <c r="B2" s="5" t="s">
        <v>5</v>
      </c>
      <c r="C2" s="6">
        <v>100.0</v>
      </c>
      <c r="D2" s="6">
        <v>200.0</v>
      </c>
      <c r="E2" s="6">
        <v>300.0</v>
      </c>
      <c r="F2" s="6">
        <v>400.0</v>
      </c>
      <c r="G2" s="6">
        <v>400.0</v>
      </c>
      <c r="H2" s="6">
        <v>500.0</v>
      </c>
      <c r="I2" s="6">
        <v>500.0</v>
      </c>
      <c r="J2" s="6">
        <v>600.0</v>
      </c>
      <c r="K2" s="6">
        <v>600.0</v>
      </c>
      <c r="L2" s="6">
        <v>700.0</v>
      </c>
      <c r="M2" s="6">
        <v>800.0</v>
      </c>
      <c r="N2" s="6">
        <v>900.0</v>
      </c>
    </row>
    <row r="3">
      <c r="A3" s="5" t="s">
        <v>6</v>
      </c>
      <c r="B3" s="5" t="s">
        <v>7</v>
      </c>
      <c r="C3" s="7">
        <v>18.0</v>
      </c>
      <c r="D3" s="7">
        <v>18.0</v>
      </c>
      <c r="E3" s="7">
        <v>18.0</v>
      </c>
      <c r="F3" s="7">
        <v>19.0</v>
      </c>
      <c r="G3" s="7">
        <v>19.0</v>
      </c>
      <c r="H3" s="7">
        <v>19.0</v>
      </c>
      <c r="I3" s="7">
        <v>20.0</v>
      </c>
      <c r="J3" s="7">
        <v>20.0</v>
      </c>
      <c r="K3" s="7">
        <v>20.0</v>
      </c>
      <c r="L3" s="7">
        <v>21.0</v>
      </c>
      <c r="M3" s="7">
        <v>21.0</v>
      </c>
      <c r="N3" s="7">
        <v>21.0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1" t="s">
        <v>8</v>
      </c>
      <c r="B4" s="5" t="s">
        <v>9</v>
      </c>
      <c r="C4" s="12">
        <f t="shared" ref="C4:N4" si="1">5.84+0.25</f>
        <v>6.09</v>
      </c>
      <c r="D4" s="12">
        <f t="shared" si="1"/>
        <v>6.09</v>
      </c>
      <c r="E4" s="12">
        <f t="shared" si="1"/>
        <v>6.09</v>
      </c>
      <c r="F4" s="12">
        <f t="shared" si="1"/>
        <v>6.09</v>
      </c>
      <c r="G4" s="12">
        <f t="shared" si="1"/>
        <v>6.09</v>
      </c>
      <c r="H4" s="12">
        <f t="shared" si="1"/>
        <v>6.09</v>
      </c>
      <c r="I4" s="12">
        <f t="shared" si="1"/>
        <v>6.09</v>
      </c>
      <c r="J4" s="12">
        <f t="shared" si="1"/>
        <v>6.09</v>
      </c>
      <c r="K4" s="12">
        <f t="shared" si="1"/>
        <v>6.09</v>
      </c>
      <c r="L4" s="12">
        <f t="shared" si="1"/>
        <v>6.09</v>
      </c>
      <c r="M4" s="12">
        <f t="shared" si="1"/>
        <v>6.09</v>
      </c>
      <c r="N4" s="12">
        <f t="shared" si="1"/>
        <v>6.09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A5" s="14" t="s">
        <v>10</v>
      </c>
      <c r="B5" s="5" t="s">
        <v>11</v>
      </c>
      <c r="C5" s="15">
        <v>0.2</v>
      </c>
      <c r="D5" s="15">
        <v>0.2</v>
      </c>
      <c r="E5" s="15">
        <v>0.2</v>
      </c>
      <c r="F5" s="15">
        <v>0.2</v>
      </c>
      <c r="G5" s="15">
        <v>0.2</v>
      </c>
      <c r="H5" s="15">
        <v>0.2</v>
      </c>
      <c r="I5" s="15">
        <v>0.2</v>
      </c>
      <c r="J5" s="15">
        <v>0.2</v>
      </c>
      <c r="K5" s="15">
        <v>0.2</v>
      </c>
      <c r="L5" s="15">
        <v>0.2</v>
      </c>
      <c r="M5" s="15">
        <v>0.2</v>
      </c>
      <c r="N5" s="15">
        <v>0.2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A6" s="18" t="s">
        <v>12</v>
      </c>
      <c r="B6" s="5" t="s">
        <v>13</v>
      </c>
      <c r="C6" s="12">
        <v>4.13</v>
      </c>
      <c r="D6" s="12">
        <v>4.13</v>
      </c>
      <c r="E6" s="12">
        <v>4.13</v>
      </c>
      <c r="F6" s="12">
        <v>4.13</v>
      </c>
      <c r="G6" s="12">
        <v>4.13</v>
      </c>
      <c r="H6" s="12">
        <v>4.13</v>
      </c>
      <c r="I6" s="12">
        <v>4.13</v>
      </c>
      <c r="J6" s="12">
        <v>4.13</v>
      </c>
      <c r="K6" s="12">
        <v>4.13</v>
      </c>
      <c r="L6" s="12">
        <v>4.13</v>
      </c>
      <c r="M6" s="12">
        <v>4.13</v>
      </c>
      <c r="N6" s="12">
        <v>4.13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4" t="s">
        <v>14</v>
      </c>
      <c r="B7" s="5" t="s">
        <v>15</v>
      </c>
      <c r="C7" s="15">
        <v>0.8</v>
      </c>
      <c r="D7" s="15">
        <v>0.7</v>
      </c>
      <c r="E7" s="15">
        <v>0.6</v>
      </c>
      <c r="F7" s="15">
        <v>0.6</v>
      </c>
      <c r="G7" s="15">
        <v>0.5</v>
      </c>
      <c r="H7" s="15">
        <v>0.4</v>
      </c>
      <c r="I7" s="15">
        <v>0.4</v>
      </c>
      <c r="J7" s="15">
        <v>0.3</v>
      </c>
      <c r="K7" s="15">
        <v>0.3</v>
      </c>
      <c r="L7" s="15">
        <v>0.3</v>
      </c>
      <c r="M7" s="15">
        <v>0.3</v>
      </c>
      <c r="N7" s="15">
        <v>0.3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14" t="s">
        <v>16</v>
      </c>
      <c r="B8" s="5" t="s">
        <v>17</v>
      </c>
      <c r="C8" s="15">
        <v>0.01</v>
      </c>
      <c r="D8" s="15">
        <v>0.01</v>
      </c>
      <c r="E8" s="15">
        <v>0.01</v>
      </c>
      <c r="F8" s="15">
        <v>0.01</v>
      </c>
      <c r="G8" s="15">
        <v>0.01</v>
      </c>
      <c r="H8" s="15">
        <v>0.01</v>
      </c>
      <c r="I8" s="15">
        <v>0.01</v>
      </c>
      <c r="J8" s="15">
        <v>0.01</v>
      </c>
      <c r="K8" s="15">
        <v>0.01</v>
      </c>
      <c r="L8" s="15">
        <v>0.01</v>
      </c>
      <c r="M8" s="15">
        <v>0.01</v>
      </c>
      <c r="N8" s="15">
        <v>0.01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19" t="s">
        <v>18</v>
      </c>
      <c r="B9" s="19" t="s">
        <v>19</v>
      </c>
      <c r="C9" s="20">
        <f t="shared" ref="C9:N9" si="2">C2*C3</f>
        <v>1800</v>
      </c>
      <c r="D9" s="20">
        <f t="shared" si="2"/>
        <v>3600</v>
      </c>
      <c r="E9" s="20">
        <f t="shared" si="2"/>
        <v>5400</v>
      </c>
      <c r="F9" s="20">
        <f t="shared" si="2"/>
        <v>7600</v>
      </c>
      <c r="G9" s="20">
        <f t="shared" si="2"/>
        <v>7600</v>
      </c>
      <c r="H9" s="20">
        <f t="shared" si="2"/>
        <v>9500</v>
      </c>
      <c r="I9" s="20">
        <f t="shared" si="2"/>
        <v>10000</v>
      </c>
      <c r="J9" s="20">
        <f t="shared" si="2"/>
        <v>12000</v>
      </c>
      <c r="K9" s="20">
        <f t="shared" si="2"/>
        <v>12000</v>
      </c>
      <c r="L9" s="20">
        <f t="shared" si="2"/>
        <v>14700</v>
      </c>
      <c r="M9" s="20">
        <f t="shared" si="2"/>
        <v>16800</v>
      </c>
      <c r="N9" s="20">
        <f t="shared" si="2"/>
        <v>18900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4" t="s">
        <v>20</v>
      </c>
      <c r="B10" s="21" t="s">
        <v>21</v>
      </c>
      <c r="C10" s="22">
        <f t="shared" ref="C10:N10" si="3">C2*C8</f>
        <v>1</v>
      </c>
      <c r="D10" s="22">
        <f t="shared" si="3"/>
        <v>2</v>
      </c>
      <c r="E10" s="22">
        <f t="shared" si="3"/>
        <v>3</v>
      </c>
      <c r="F10" s="22">
        <f t="shared" si="3"/>
        <v>4</v>
      </c>
      <c r="G10" s="22">
        <f t="shared" si="3"/>
        <v>4</v>
      </c>
      <c r="H10" s="22">
        <f t="shared" si="3"/>
        <v>5</v>
      </c>
      <c r="I10" s="22">
        <f t="shared" si="3"/>
        <v>5</v>
      </c>
      <c r="J10" s="22">
        <f t="shared" si="3"/>
        <v>6</v>
      </c>
      <c r="K10" s="22">
        <f t="shared" si="3"/>
        <v>6</v>
      </c>
      <c r="L10" s="22">
        <f t="shared" si="3"/>
        <v>7</v>
      </c>
      <c r="M10" s="22">
        <f t="shared" si="3"/>
        <v>8</v>
      </c>
      <c r="N10" s="22">
        <f t="shared" si="3"/>
        <v>9</v>
      </c>
    </row>
    <row r="11">
      <c r="A11" s="5" t="s">
        <v>22</v>
      </c>
      <c r="B11" s="5" t="s">
        <v>23</v>
      </c>
      <c r="C11" s="20">
        <f t="shared" ref="C11:N11" si="4">C10*C3</f>
        <v>18</v>
      </c>
      <c r="D11" s="20">
        <f t="shared" si="4"/>
        <v>36</v>
      </c>
      <c r="E11" s="20">
        <f t="shared" si="4"/>
        <v>54</v>
      </c>
      <c r="F11" s="20">
        <f t="shared" si="4"/>
        <v>76</v>
      </c>
      <c r="G11" s="20">
        <f t="shared" si="4"/>
        <v>76</v>
      </c>
      <c r="H11" s="20">
        <f t="shared" si="4"/>
        <v>95</v>
      </c>
      <c r="I11" s="20">
        <f t="shared" si="4"/>
        <v>100</v>
      </c>
      <c r="J11" s="20">
        <f t="shared" si="4"/>
        <v>120</v>
      </c>
      <c r="K11" s="20">
        <f t="shared" si="4"/>
        <v>120</v>
      </c>
      <c r="L11" s="20">
        <f t="shared" si="4"/>
        <v>147</v>
      </c>
      <c r="M11" s="20">
        <f t="shared" si="4"/>
        <v>168</v>
      </c>
      <c r="N11" s="20">
        <f t="shared" si="4"/>
        <v>189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9" t="s">
        <v>24</v>
      </c>
      <c r="B12" s="19" t="s">
        <v>25</v>
      </c>
      <c r="C12" s="20">
        <f t="shared" ref="C12:N12" si="5">C9-C11</f>
        <v>1782</v>
      </c>
      <c r="D12" s="20">
        <f t="shared" si="5"/>
        <v>3564</v>
      </c>
      <c r="E12" s="20">
        <f t="shared" si="5"/>
        <v>5346</v>
      </c>
      <c r="F12" s="20">
        <f t="shared" si="5"/>
        <v>7524</v>
      </c>
      <c r="G12" s="20">
        <f t="shared" si="5"/>
        <v>7524</v>
      </c>
      <c r="H12" s="20">
        <f t="shared" si="5"/>
        <v>9405</v>
      </c>
      <c r="I12" s="20">
        <f t="shared" si="5"/>
        <v>9900</v>
      </c>
      <c r="J12" s="20">
        <f t="shared" si="5"/>
        <v>11880</v>
      </c>
      <c r="K12" s="20">
        <f t="shared" si="5"/>
        <v>11880</v>
      </c>
      <c r="L12" s="20">
        <f t="shared" si="5"/>
        <v>14553</v>
      </c>
      <c r="M12" s="20">
        <f t="shared" si="5"/>
        <v>16632</v>
      </c>
      <c r="N12" s="20">
        <f t="shared" si="5"/>
        <v>18711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5" t="s">
        <v>26</v>
      </c>
      <c r="B13" s="5" t="s">
        <v>27</v>
      </c>
      <c r="C13" s="20">
        <f t="shared" ref="C13:N13" si="6">C2*C4</f>
        <v>609</v>
      </c>
      <c r="D13" s="20">
        <f t="shared" si="6"/>
        <v>1218</v>
      </c>
      <c r="E13" s="20">
        <f t="shared" si="6"/>
        <v>1827</v>
      </c>
      <c r="F13" s="20">
        <f t="shared" si="6"/>
        <v>2436</v>
      </c>
      <c r="G13" s="20">
        <f t="shared" si="6"/>
        <v>2436</v>
      </c>
      <c r="H13" s="20">
        <f t="shared" si="6"/>
        <v>3045</v>
      </c>
      <c r="I13" s="20">
        <f t="shared" si="6"/>
        <v>3045</v>
      </c>
      <c r="J13" s="20">
        <f t="shared" si="6"/>
        <v>3654</v>
      </c>
      <c r="K13" s="20">
        <f t="shared" si="6"/>
        <v>3654</v>
      </c>
      <c r="L13" s="20">
        <f t="shared" si="6"/>
        <v>4263</v>
      </c>
      <c r="M13" s="20">
        <f t="shared" si="6"/>
        <v>4872</v>
      </c>
      <c r="N13" s="20">
        <f t="shared" si="6"/>
        <v>5481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5" t="s">
        <v>28</v>
      </c>
      <c r="B14" s="5" t="s">
        <v>29</v>
      </c>
      <c r="C14" s="20">
        <f t="shared" ref="C14:N14" si="7">C2*C5</f>
        <v>20</v>
      </c>
      <c r="D14" s="20">
        <f t="shared" si="7"/>
        <v>40</v>
      </c>
      <c r="E14" s="20">
        <f t="shared" si="7"/>
        <v>60</v>
      </c>
      <c r="F14" s="20">
        <f t="shared" si="7"/>
        <v>80</v>
      </c>
      <c r="G14" s="20">
        <f t="shared" si="7"/>
        <v>80</v>
      </c>
      <c r="H14" s="20">
        <f t="shared" si="7"/>
        <v>100</v>
      </c>
      <c r="I14" s="20">
        <f t="shared" si="7"/>
        <v>100</v>
      </c>
      <c r="J14" s="20">
        <f t="shared" si="7"/>
        <v>120</v>
      </c>
      <c r="K14" s="20">
        <f t="shared" si="7"/>
        <v>120</v>
      </c>
      <c r="L14" s="20">
        <f t="shared" si="7"/>
        <v>140</v>
      </c>
      <c r="M14" s="20">
        <f t="shared" si="7"/>
        <v>160</v>
      </c>
      <c r="N14" s="20">
        <f t="shared" si="7"/>
        <v>180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5" t="s">
        <v>30</v>
      </c>
      <c r="B15" s="5" t="s">
        <v>31</v>
      </c>
      <c r="C15" s="20">
        <f t="shared" ref="C15:N15" si="8">C2*C6</f>
        <v>413</v>
      </c>
      <c r="D15" s="20">
        <f t="shared" si="8"/>
        <v>826</v>
      </c>
      <c r="E15" s="20">
        <f t="shared" si="8"/>
        <v>1239</v>
      </c>
      <c r="F15" s="20">
        <f t="shared" si="8"/>
        <v>1652</v>
      </c>
      <c r="G15" s="20">
        <f t="shared" si="8"/>
        <v>1652</v>
      </c>
      <c r="H15" s="20">
        <f t="shared" si="8"/>
        <v>2065</v>
      </c>
      <c r="I15" s="20">
        <f t="shared" si="8"/>
        <v>2065</v>
      </c>
      <c r="J15" s="20">
        <f t="shared" si="8"/>
        <v>2478</v>
      </c>
      <c r="K15" s="20">
        <f t="shared" si="8"/>
        <v>2478</v>
      </c>
      <c r="L15" s="20">
        <f t="shared" si="8"/>
        <v>2891</v>
      </c>
      <c r="M15" s="20">
        <f t="shared" si="8"/>
        <v>3304</v>
      </c>
      <c r="N15" s="20">
        <f t="shared" si="8"/>
        <v>3717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5" t="s">
        <v>32</v>
      </c>
      <c r="B16" s="18" t="s">
        <v>33</v>
      </c>
      <c r="C16" s="5">
        <f>C27*Inputs!$B$3</f>
        <v>1000</v>
      </c>
      <c r="D16" s="5">
        <f>D27*Inputs!$B$3</f>
        <v>950</v>
      </c>
      <c r="E16" s="5">
        <f>E27*Inputs!$B$3</f>
        <v>850</v>
      </c>
      <c r="F16" s="5">
        <f>F27*Inputs!$B$3</f>
        <v>700</v>
      </c>
      <c r="G16" s="5">
        <f>G27*Inputs!$B$3</f>
        <v>500</v>
      </c>
      <c r="H16" s="5">
        <f>H27*Inputs!$B$3</f>
        <v>1300</v>
      </c>
      <c r="I16" s="5">
        <f>I27*Inputs!$B$3</f>
        <v>1050</v>
      </c>
      <c r="J16" s="5">
        <f>J27*Inputs!$B$3</f>
        <v>800</v>
      </c>
      <c r="K16" s="5">
        <f>K27*Inputs!$B$3</f>
        <v>500</v>
      </c>
      <c r="L16" s="5">
        <f>L27*Inputs!$B$3</f>
        <v>1200</v>
      </c>
      <c r="M16" s="5">
        <f>M27*Inputs!$B$3</f>
        <v>850</v>
      </c>
      <c r="N16" s="5">
        <f>N27*Inputs!$B$3</f>
        <v>450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5" t="s">
        <v>34</v>
      </c>
      <c r="B17" s="5" t="s">
        <v>35</v>
      </c>
      <c r="C17" s="20">
        <f>C10*Inputs!$B$4</f>
        <v>1</v>
      </c>
      <c r="D17" s="20">
        <f>D10*Inputs!$B$4</f>
        <v>2</v>
      </c>
      <c r="E17" s="20">
        <f>E10*Inputs!$B$4</f>
        <v>3</v>
      </c>
      <c r="F17" s="20">
        <f>F10*Inputs!$B$4</f>
        <v>4</v>
      </c>
      <c r="G17" s="20">
        <f>G10*Inputs!$B$4</f>
        <v>4</v>
      </c>
      <c r="H17" s="20">
        <f>H10*Inputs!$B$4</f>
        <v>5</v>
      </c>
      <c r="I17" s="20">
        <f>I10*Inputs!$B$4</f>
        <v>5</v>
      </c>
      <c r="J17" s="20">
        <f>J10*Inputs!$B$4</f>
        <v>6</v>
      </c>
      <c r="K17" s="20">
        <f>K10*Inputs!$B$4</f>
        <v>6</v>
      </c>
      <c r="L17" s="20">
        <f>L10*Inputs!$B$4</f>
        <v>7</v>
      </c>
      <c r="M17" s="20">
        <f>M10*Inputs!$B$4</f>
        <v>8</v>
      </c>
      <c r="N17" s="20">
        <f>N10*Inputs!$B$4</f>
        <v>9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5" t="s">
        <v>36</v>
      </c>
      <c r="B18" s="5" t="s">
        <v>37</v>
      </c>
      <c r="C18" s="20">
        <f>Inputs!$B$2*C12</f>
        <v>267.3</v>
      </c>
      <c r="D18" s="20">
        <f>Inputs!$B$2*D12</f>
        <v>534.6</v>
      </c>
      <c r="E18" s="20">
        <f>Inputs!$B$2*E12</f>
        <v>801.9</v>
      </c>
      <c r="F18" s="20">
        <f>Inputs!$B$2*F12</f>
        <v>1128.6</v>
      </c>
      <c r="G18" s="20">
        <f>Inputs!$B$2*G12</f>
        <v>1128.6</v>
      </c>
      <c r="H18" s="20">
        <f>Inputs!$B$2*H12</f>
        <v>1410.75</v>
      </c>
      <c r="I18" s="20">
        <f>Inputs!$B$2*I12</f>
        <v>1485</v>
      </c>
      <c r="J18" s="20">
        <f>Inputs!$B$2*J12</f>
        <v>1782</v>
      </c>
      <c r="K18" s="20">
        <f>Inputs!$B$2*K12</f>
        <v>1782</v>
      </c>
      <c r="L18" s="20">
        <f>Inputs!$B$2*L12</f>
        <v>2182.95</v>
      </c>
      <c r="M18" s="20">
        <f>Inputs!$B$2*M12</f>
        <v>2494.8</v>
      </c>
      <c r="N18" s="20">
        <f>Inputs!$B$2*N12</f>
        <v>2806.65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5" t="s">
        <v>38</v>
      </c>
      <c r="B19" s="5" t="s">
        <v>39</v>
      </c>
      <c r="C19" s="20">
        <f t="shared" ref="C19:N19" si="9">SUM(C13:C18)</f>
        <v>2310.3</v>
      </c>
      <c r="D19" s="20">
        <f t="shared" si="9"/>
        <v>3570.6</v>
      </c>
      <c r="E19" s="20">
        <f t="shared" si="9"/>
        <v>4780.9</v>
      </c>
      <c r="F19" s="20">
        <f t="shared" si="9"/>
        <v>6000.6</v>
      </c>
      <c r="G19" s="20">
        <f t="shared" si="9"/>
        <v>5800.6</v>
      </c>
      <c r="H19" s="20">
        <f t="shared" si="9"/>
        <v>7925.75</v>
      </c>
      <c r="I19" s="20">
        <f t="shared" si="9"/>
        <v>7750</v>
      </c>
      <c r="J19" s="20">
        <f t="shared" si="9"/>
        <v>8840</v>
      </c>
      <c r="K19" s="20">
        <f t="shared" si="9"/>
        <v>8540</v>
      </c>
      <c r="L19" s="20">
        <f t="shared" si="9"/>
        <v>10683.95</v>
      </c>
      <c r="M19" s="20">
        <f t="shared" si="9"/>
        <v>11688.8</v>
      </c>
      <c r="N19" s="20">
        <f t="shared" si="9"/>
        <v>12643.65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9" t="s">
        <v>40</v>
      </c>
      <c r="B20" s="19" t="s">
        <v>41</v>
      </c>
      <c r="C20" s="20">
        <f t="shared" ref="C20:N20" si="10">C12-C19</f>
        <v>-528.3</v>
      </c>
      <c r="D20" s="20">
        <f t="shared" si="10"/>
        <v>-6.6</v>
      </c>
      <c r="E20" s="20">
        <f t="shared" si="10"/>
        <v>565.1</v>
      </c>
      <c r="F20" s="20">
        <f t="shared" si="10"/>
        <v>1523.4</v>
      </c>
      <c r="G20" s="20">
        <f t="shared" si="10"/>
        <v>1723.4</v>
      </c>
      <c r="H20" s="20">
        <f t="shared" si="10"/>
        <v>1479.25</v>
      </c>
      <c r="I20" s="20">
        <f t="shared" si="10"/>
        <v>2150</v>
      </c>
      <c r="J20" s="20">
        <f t="shared" si="10"/>
        <v>3040</v>
      </c>
      <c r="K20" s="20">
        <f t="shared" si="10"/>
        <v>3340</v>
      </c>
      <c r="L20" s="20">
        <f t="shared" si="10"/>
        <v>3869.05</v>
      </c>
      <c r="M20" s="20">
        <f t="shared" si="10"/>
        <v>4943.2</v>
      </c>
      <c r="N20" s="20">
        <f t="shared" si="10"/>
        <v>6067.35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5" t="s">
        <v>42</v>
      </c>
      <c r="B21" s="5" t="s">
        <v>43</v>
      </c>
      <c r="C21" s="20">
        <f t="shared" ref="C21:N21" si="11">C7*C12</f>
        <v>1425.6</v>
      </c>
      <c r="D21" s="20">
        <f t="shared" si="11"/>
        <v>2494.8</v>
      </c>
      <c r="E21" s="20">
        <f t="shared" si="11"/>
        <v>3207.6</v>
      </c>
      <c r="F21" s="20">
        <f t="shared" si="11"/>
        <v>4514.4</v>
      </c>
      <c r="G21" s="20">
        <f t="shared" si="11"/>
        <v>3762</v>
      </c>
      <c r="H21" s="20">
        <f t="shared" si="11"/>
        <v>3762</v>
      </c>
      <c r="I21" s="20">
        <f t="shared" si="11"/>
        <v>3960</v>
      </c>
      <c r="J21" s="20">
        <f t="shared" si="11"/>
        <v>3564</v>
      </c>
      <c r="K21" s="20">
        <f t="shared" si="11"/>
        <v>3564</v>
      </c>
      <c r="L21" s="20">
        <f t="shared" si="11"/>
        <v>4365.9</v>
      </c>
      <c r="M21" s="20">
        <f t="shared" si="11"/>
        <v>4989.6</v>
      </c>
      <c r="N21" s="20">
        <f t="shared" si="11"/>
        <v>5613.3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5" t="s">
        <v>44</v>
      </c>
      <c r="B22" s="5" t="s">
        <v>45</v>
      </c>
      <c r="C22" s="20">
        <f>Inputs!$B$5*C12</f>
        <v>124.74</v>
      </c>
      <c r="D22" s="20">
        <f>Inputs!$B$5*D12</f>
        <v>249.48</v>
      </c>
      <c r="E22" s="20">
        <f>Inputs!$B$5*E12</f>
        <v>374.22</v>
      </c>
      <c r="F22" s="20">
        <f>Inputs!$B$5*F12</f>
        <v>526.68</v>
      </c>
      <c r="G22" s="20">
        <f>Inputs!$B$5*G12</f>
        <v>526.68</v>
      </c>
      <c r="H22" s="20">
        <f>Inputs!$B$5*H12</f>
        <v>658.35</v>
      </c>
      <c r="I22" s="20">
        <f>Inputs!$B$5*I12</f>
        <v>693</v>
      </c>
      <c r="J22" s="20">
        <f>Inputs!$B$5*J12</f>
        <v>831.6</v>
      </c>
      <c r="K22" s="20">
        <f>Inputs!$B$5*K12</f>
        <v>831.6</v>
      </c>
      <c r="L22" s="20">
        <f>Inputs!$B$5*L12</f>
        <v>1018.71</v>
      </c>
      <c r="M22" s="20">
        <f>Inputs!$B$5*M12</f>
        <v>1164.24</v>
      </c>
      <c r="N22" s="20">
        <f>Inputs!$B$5*N12</f>
        <v>1309.77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5" t="s">
        <v>46</v>
      </c>
      <c r="B23" s="5" t="s">
        <v>47</v>
      </c>
      <c r="C23" s="20">
        <f>Inputs!$B$6*C12</f>
        <v>124.74</v>
      </c>
      <c r="D23" s="20">
        <f>Inputs!$B$6*D12</f>
        <v>249.48</v>
      </c>
      <c r="E23" s="20">
        <f>Inputs!$B$6*E12</f>
        <v>374.22</v>
      </c>
      <c r="F23" s="20">
        <f>Inputs!$B$6*F12</f>
        <v>526.68</v>
      </c>
      <c r="G23" s="20">
        <f>Inputs!$B$6*G12</f>
        <v>526.68</v>
      </c>
      <c r="H23" s="20">
        <f>Inputs!$B$6*H12</f>
        <v>658.35</v>
      </c>
      <c r="I23" s="20">
        <f>Inputs!$B$6*I12</f>
        <v>693</v>
      </c>
      <c r="J23" s="20">
        <f>Inputs!$B$6*J12</f>
        <v>831.6</v>
      </c>
      <c r="K23" s="20">
        <f>Inputs!$B$6*K12</f>
        <v>831.6</v>
      </c>
      <c r="L23" s="20">
        <f>Inputs!$B$6*L12</f>
        <v>1018.71</v>
      </c>
      <c r="M23" s="20">
        <f>Inputs!$B$6*M12</f>
        <v>1164.24</v>
      </c>
      <c r="N23" s="20">
        <f>Inputs!$B$6*N12</f>
        <v>1309.77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5" t="s">
        <v>48</v>
      </c>
      <c r="B24" s="5" t="s">
        <v>49</v>
      </c>
      <c r="C24" s="20">
        <f t="shared" ref="C24:N24" si="12">SUM(C21:C23)</f>
        <v>1675.08</v>
      </c>
      <c r="D24" s="20">
        <f t="shared" si="12"/>
        <v>2993.76</v>
      </c>
      <c r="E24" s="20">
        <f t="shared" si="12"/>
        <v>3956.04</v>
      </c>
      <c r="F24" s="20">
        <f t="shared" si="12"/>
        <v>5567.76</v>
      </c>
      <c r="G24" s="20">
        <f t="shared" si="12"/>
        <v>4815.36</v>
      </c>
      <c r="H24" s="20">
        <f t="shared" si="12"/>
        <v>5078.7</v>
      </c>
      <c r="I24" s="20">
        <f t="shared" si="12"/>
        <v>5346</v>
      </c>
      <c r="J24" s="20">
        <f t="shared" si="12"/>
        <v>5227.2</v>
      </c>
      <c r="K24" s="20">
        <f t="shared" si="12"/>
        <v>5227.2</v>
      </c>
      <c r="L24" s="20">
        <f t="shared" si="12"/>
        <v>6403.32</v>
      </c>
      <c r="M24" s="20">
        <f t="shared" si="12"/>
        <v>7318.08</v>
      </c>
      <c r="N24" s="20">
        <f t="shared" si="12"/>
        <v>8232.84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9" t="s">
        <v>50</v>
      </c>
      <c r="B25" s="19" t="s">
        <v>51</v>
      </c>
      <c r="C25" s="20">
        <f t="shared" ref="C25:N25" si="13">C20-C24</f>
        <v>-2203.38</v>
      </c>
      <c r="D25" s="20">
        <f t="shared" si="13"/>
        <v>-3000.36</v>
      </c>
      <c r="E25" s="20">
        <f t="shared" si="13"/>
        <v>-3390.94</v>
      </c>
      <c r="F25" s="20">
        <f t="shared" si="13"/>
        <v>-4044.36</v>
      </c>
      <c r="G25" s="20">
        <f t="shared" si="13"/>
        <v>-3091.96</v>
      </c>
      <c r="H25" s="20">
        <f t="shared" si="13"/>
        <v>-3599.45</v>
      </c>
      <c r="I25" s="20">
        <f t="shared" si="13"/>
        <v>-3196</v>
      </c>
      <c r="J25" s="20">
        <f t="shared" si="13"/>
        <v>-2187.2</v>
      </c>
      <c r="K25" s="20">
        <f t="shared" si="13"/>
        <v>-1887.2</v>
      </c>
      <c r="L25" s="20">
        <f t="shared" si="13"/>
        <v>-2534.27</v>
      </c>
      <c r="M25" s="20">
        <f t="shared" si="13"/>
        <v>-2374.88</v>
      </c>
      <c r="N25" s="20">
        <f t="shared" si="13"/>
        <v>-2165.49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5" t="s">
        <v>52</v>
      </c>
      <c r="B26" s="4" t="s">
        <v>53</v>
      </c>
      <c r="C26" s="23">
        <f t="shared" ref="C26:N26" si="14">C25/C9</f>
        <v>-1.2241</v>
      </c>
      <c r="D26" s="23">
        <f t="shared" si="14"/>
        <v>-0.8334333333</v>
      </c>
      <c r="E26" s="23">
        <f t="shared" si="14"/>
        <v>-0.6279518519</v>
      </c>
      <c r="F26" s="23">
        <f t="shared" si="14"/>
        <v>-0.5321526316</v>
      </c>
      <c r="G26" s="23">
        <f t="shared" si="14"/>
        <v>-0.4068368421</v>
      </c>
      <c r="H26" s="23">
        <f t="shared" si="14"/>
        <v>-0.3788894737</v>
      </c>
      <c r="I26" s="23">
        <f t="shared" si="14"/>
        <v>-0.3196</v>
      </c>
      <c r="J26" s="23">
        <f t="shared" si="14"/>
        <v>-0.1822666667</v>
      </c>
      <c r="K26" s="23">
        <f t="shared" si="14"/>
        <v>-0.1572666667</v>
      </c>
      <c r="L26" s="23">
        <f t="shared" si="14"/>
        <v>-0.1723993197</v>
      </c>
      <c r="M26" s="23">
        <f t="shared" si="14"/>
        <v>-0.1413619048</v>
      </c>
      <c r="N26" s="23">
        <f t="shared" si="14"/>
        <v>-0.1145761905</v>
      </c>
    </row>
    <row r="27">
      <c r="A27" s="24" t="s">
        <v>54</v>
      </c>
      <c r="B27" s="24" t="s">
        <v>55</v>
      </c>
      <c r="C27" s="25">
        <v>2000.0</v>
      </c>
      <c r="D27" s="25">
        <f t="shared" ref="D27:G27" si="15">C27-C2</f>
        <v>1900</v>
      </c>
      <c r="E27" s="25">
        <f t="shared" si="15"/>
        <v>1700</v>
      </c>
      <c r="F27" s="25">
        <f t="shared" si="15"/>
        <v>1400</v>
      </c>
      <c r="G27" s="25">
        <f t="shared" si="15"/>
        <v>1000</v>
      </c>
      <c r="H27" s="25">
        <f>G27-G2+2000</f>
        <v>2600</v>
      </c>
      <c r="I27" s="25">
        <f t="shared" ref="I27:K27" si="16">H27-H2</f>
        <v>2100</v>
      </c>
      <c r="J27" s="25">
        <f t="shared" si="16"/>
        <v>1600</v>
      </c>
      <c r="K27" s="25">
        <f t="shared" si="16"/>
        <v>1000</v>
      </c>
      <c r="L27" s="25">
        <f>K27-K2+2000</f>
        <v>2400</v>
      </c>
      <c r="M27" s="25">
        <f t="shared" ref="M27:N27" si="17">L27-L2</f>
        <v>1700</v>
      </c>
      <c r="N27" s="25">
        <f t="shared" si="17"/>
        <v>900</v>
      </c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4" width="18.88"/>
    <col customWidth="1" min="5" max="6" width="16.0"/>
    <col customWidth="1" min="7" max="7" width="18.88"/>
  </cols>
  <sheetData>
    <row r="1">
      <c r="A1" s="3" t="s">
        <v>2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</row>
    <row r="2">
      <c r="A2" s="4" t="s">
        <v>62</v>
      </c>
      <c r="B2" s="22">
        <f>sum('Inositol PPC'!C2:N2)</f>
        <v>4150</v>
      </c>
      <c r="C2" s="22">
        <f>sum('Magnesium PPC'!C2:N2)</f>
        <v>6000</v>
      </c>
      <c r="D2" s="22"/>
      <c r="G2" s="22">
        <f t="shared" ref="G2:G5" si="1">SUM(B2:D2)</f>
        <v>10150</v>
      </c>
    </row>
    <row r="3">
      <c r="A3" s="4" t="s">
        <v>63</v>
      </c>
      <c r="B3" s="20">
        <f>sum('Inositol PPC'!C12:N12)</f>
        <v>68706</v>
      </c>
      <c r="C3" s="20">
        <f>sum('Magnesium PPC'!C12:N12)</f>
        <v>118701</v>
      </c>
      <c r="D3" s="27"/>
      <c r="G3" s="27">
        <f t="shared" si="1"/>
        <v>187407</v>
      </c>
    </row>
    <row r="4">
      <c r="A4" s="4" t="s">
        <v>64</v>
      </c>
      <c r="B4" s="20">
        <f>sum('Inositol PPC'!C21:N21)</f>
        <v>25641</v>
      </c>
      <c r="C4" s="20">
        <f>sum('Magnesium PPC'!C21:N21)</f>
        <v>45223.2</v>
      </c>
      <c r="D4" s="27"/>
      <c r="G4" s="27">
        <f t="shared" si="1"/>
        <v>70864.2</v>
      </c>
    </row>
    <row r="5">
      <c r="A5" s="4" t="s">
        <v>65</v>
      </c>
      <c r="B5" s="20">
        <f>sum('Inositol PPC'!C25:N25)</f>
        <v>-10689.62</v>
      </c>
      <c r="C5" s="20">
        <f>sum('Magnesium PPC'!C25:N25)</f>
        <v>-33675.49</v>
      </c>
      <c r="D5" s="27"/>
      <c r="G5" s="27">
        <f t="shared" si="1"/>
        <v>-44365.11</v>
      </c>
    </row>
    <row r="6">
      <c r="A6" s="4" t="s">
        <v>66</v>
      </c>
      <c r="B6" s="28">
        <f t="shared" ref="B6:D6" si="2">IFERROR(B5/B3,"")</f>
        <v>-0.1555849562</v>
      </c>
      <c r="C6" s="28">
        <f t="shared" si="2"/>
        <v>-0.2837001373</v>
      </c>
      <c r="D6" s="28" t="str">
        <f t="shared" si="2"/>
        <v/>
      </c>
      <c r="G6" s="28">
        <f>IFERROR(G5/G3,"")</f>
        <v>-0.2367313387</v>
      </c>
    </row>
    <row r="7">
      <c r="A7" s="4" t="s">
        <v>67</v>
      </c>
      <c r="B7" s="20">
        <f>Inputs!$B$7*12</f>
        <v>18000</v>
      </c>
      <c r="C7" s="20">
        <f>Inputs!$B$7*12</f>
        <v>18000</v>
      </c>
      <c r="D7" s="27"/>
      <c r="G7" s="27">
        <f>Inputs!$B$7*12</f>
        <v>18000</v>
      </c>
    </row>
    <row r="8">
      <c r="A8" s="4" t="s">
        <v>68</v>
      </c>
      <c r="B8" s="20">
        <f>Inputs!$B$8*12</f>
        <v>6000</v>
      </c>
      <c r="C8" s="20">
        <f>Inputs!$B$8*12</f>
        <v>6000</v>
      </c>
      <c r="D8" s="27"/>
      <c r="G8" s="27">
        <f>Inputs!$B$8*12</f>
        <v>6000</v>
      </c>
    </row>
    <row r="9">
      <c r="A9" s="4" t="s">
        <v>69</v>
      </c>
      <c r="B9" s="20">
        <f t="shared" ref="B9:C9" si="3">B5-B7-B8</f>
        <v>-34689.62</v>
      </c>
      <c r="C9" s="20">
        <f t="shared" si="3"/>
        <v>-57675.49</v>
      </c>
      <c r="D9" s="27"/>
      <c r="G9" s="27">
        <f>G5-G7-G8</f>
        <v>-68365.11</v>
      </c>
    </row>
    <row r="10">
      <c r="A10" s="4" t="s">
        <v>70</v>
      </c>
      <c r="B10" s="23">
        <f t="shared" ref="B10:D10" si="4">IFERROR(B4/B3,"")</f>
        <v>0.3731988473</v>
      </c>
      <c r="C10" s="23">
        <f t="shared" si="4"/>
        <v>0.3809841535</v>
      </c>
      <c r="D10" s="28" t="str">
        <f t="shared" si="4"/>
        <v/>
      </c>
      <c r="G10" s="28">
        <f>IFERROR(G4/G3,"")</f>
        <v>0.3781299525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5.13"/>
  </cols>
  <sheetData>
    <row r="1">
      <c r="A1" s="3" t="s">
        <v>71</v>
      </c>
      <c r="B1" s="3" t="s">
        <v>72</v>
      </c>
      <c r="C1" s="29"/>
      <c r="D1" s="29"/>
      <c r="E1" s="4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4" t="s">
        <v>73</v>
      </c>
      <c r="B2" s="14">
        <v>0.15</v>
      </c>
      <c r="C2" s="29"/>
      <c r="D2" s="29"/>
      <c r="E2" s="4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4" t="s">
        <v>74</v>
      </c>
      <c r="B3" s="18">
        <v>0.5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4" t="s">
        <v>75</v>
      </c>
      <c r="B4" s="18">
        <v>1.0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4" t="s">
        <v>76</v>
      </c>
      <c r="B5" s="14">
        <v>0.07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4" t="s">
        <v>77</v>
      </c>
      <c r="B6" s="14">
        <v>0.07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4" t="s">
        <v>78</v>
      </c>
      <c r="B7" s="5">
        <v>1500.0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4" t="s">
        <v>79</v>
      </c>
      <c r="B8" s="5">
        <v>500.0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drawing r:id="rId1"/>
</worksheet>
</file>