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водная" sheetId="1" r:id="rId5"/>
    <sheet state="visible" name="Производство сравнение" sheetId="2" r:id="rId6"/>
    <sheet state="visible" name="Лист1" sheetId="3" r:id="rId7"/>
    <sheet state="hidden" name="минигант"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4">
      <text>
        <t xml:space="preserve">Общие затраты на регистрацию бренда разбиваются на каждый продукт поровну.</t>
      </text>
    </comment>
  </commentList>
</comments>
</file>

<file path=xl/sharedStrings.xml><?xml version="1.0" encoding="utf-8"?>
<sst xmlns="http://schemas.openxmlformats.org/spreadsheetml/2006/main" count="369" uniqueCount="211">
  <si>
    <t>Производитель</t>
  </si>
  <si>
    <t>Продукт</t>
  </si>
  <si>
    <t>Состав</t>
  </si>
  <si>
    <t>Тара</t>
  </si>
  <si>
    <t>Обьем</t>
  </si>
  <si>
    <t>Lead times</t>
  </si>
  <si>
    <t>1000 pcs</t>
  </si>
  <si>
    <t>3000 pcs</t>
  </si>
  <si>
    <t>5000 pcs</t>
  </si>
  <si>
    <t>10000 pcs</t>
  </si>
  <si>
    <t>МЕРИВУД</t>
  </si>
  <si>
    <t>Inositol (capsules)</t>
  </si>
  <si>
    <t>Inositol 274mg, rice flour, silicon dioxide, magnesium stearate</t>
  </si>
  <si>
    <t>Bottle 250ml + peel off label - N180</t>
  </si>
  <si>
    <t>250ml</t>
  </si>
  <si>
    <t>6-8 weeks</t>
  </si>
  <si>
    <t>Magnesium B6 (capsules) CITRAT</t>
  </si>
  <si>
    <t>100mg magnesium citrate, rice flour, silicon dioxide, magnesium stearate</t>
  </si>
  <si>
    <t>4-6 weeks</t>
  </si>
  <si>
    <t xml:space="preserve">Magnesium bisglycinate, </t>
  </si>
  <si>
    <t>635mg magnesium bisglycinate, vitamin B6 1,4mg , rice flour, silicon dioxide, magnesium stearate</t>
  </si>
  <si>
    <t>Probioful (capsules)</t>
  </si>
  <si>
    <t>Lactobacillus delbrueckii BIO6744 5×10⁸ CFU, Bifidobacterium infantis BIO5478 5×10⁸ CFU, Bifidobacterium lactis BS01 6×10⁹ CFU, Bifidobacterium breve BR03 3,5×10⁹ CFU, Lactobacillus paracasei LPC00 4×10⁹ CFU, Lactobacillus rhamnosus LR06 4×10⁸ CFU, Lactobacillus plantarum LP09 1,9×10⁹ CFU, Lactobacillus casei LC03 2×10⁸ CFU, Lactobacillus acidophilus LA02 7×10⁸ CFU, Bifidobacterium bifidum BB01 1×10⁸ CFU, Streptococcus thermophilus FP4 6×10⁸ CFU, Bifidobacterium longum BL03 1,6×10⁹ CFU, Inulin 190 mg</t>
  </si>
  <si>
    <t>Bottle 150ml + peel off label - N60</t>
  </si>
  <si>
    <t>150ml</t>
  </si>
  <si>
    <t>Dicalcium Phosphate 342.00 mg, Microcrystalline Cellulose 155.30 mg, Hydroxypropyl Methylcellulose 95.00 mg, Magnesium Stearate 12.00 mg, Silicon Dioxide 8.00 mg, Lactobacillus acidophilus (1 Billion CFU) 6.80 mg, Streptococcus thermophilus (0.01 Billion CFU) 0.45 mg, Lactobacillus salivarius (0.01 Billion CFU) 0.15 mg, Bifidobacterium bifidum (0.01 Billion CFU) 0.15 mg, Lactobacillus rhamnosus (0.01 Billion CFU) 0.15 mg</t>
  </si>
  <si>
    <t>Retinol Cream</t>
  </si>
  <si>
    <t>Aqua, Glycerin, Caprylic/Capric Triglyceride, 
Niacinamide, Hydroxyethyl Acrylate/Sodium 
Acryloyldimethyl Taurate Copolymer, Prunus 
Amygdalus Dulcis Oil, Polysorbate 80, 
Panthenol, Urea, Tocopherol, Squalane, 
Phenoxyethanol, Ethylhexylglycerin, 
Colloidal Gold, Caprylyl Glycol, Retinol, 
Parfum, Undecane, Tridecane, Geraniol, Linalool</t>
  </si>
  <si>
    <t>cream spray 30 ml 0,5% classic label + box + lifter</t>
  </si>
  <si>
    <t>30ml</t>
  </si>
  <si>
    <t>4-5 weeks</t>
  </si>
  <si>
    <t>MillMax</t>
  </si>
  <si>
    <t>Inositol 180 caps 274 mg/ per 1 caps</t>
  </si>
  <si>
    <t xml:space="preserve">Bottle 200мл + label </t>
  </si>
  <si>
    <t>200ml</t>
  </si>
  <si>
    <t>Magnesium B6 (capsules)</t>
  </si>
  <si>
    <t>Magnesium Citrate +B6 180 caps 635 mg Magnesium Citrate / per 1 caps</t>
  </si>
  <si>
    <t>Magnesium bisglycinate + B6, Acai Berry Extract, Goji Extract 180 caps</t>
  </si>
  <si>
    <t>Retinol (0,5%) 30ml Liposomal Retinol (active ingredient in
formulation) 0.05% pure Retinol (from active ingredient)</t>
  </si>
  <si>
    <t>Retinol 0.5% 30ml</t>
  </si>
  <si>
    <t>30ml(наклейка без футляра)</t>
  </si>
  <si>
    <t>ERAscientifico</t>
  </si>
  <si>
    <t>Myo-inositol 1000mg Folic acid (from methylfolate) 400mcg</t>
  </si>
  <si>
    <t>N180, white PET, On-side label</t>
  </si>
  <si>
    <t>8-9 weeks first after 6-8 weeks</t>
  </si>
  <si>
    <t xml:space="preserve"> 
Magnesium 200mg (Bisglycinate and oxide blend) Vitamin B6 1,5mg - 1 cap</t>
  </si>
  <si>
    <t>On-side label - N180</t>
  </si>
  <si>
    <t>Magnesium 110mg (from bisglycinate) Vitamin B6 1,5mg - 1 cap</t>
  </si>
  <si>
    <t>Magnesium (from magnesium citrate) 300mg Vitamin B6 4,5 mg</t>
  </si>
  <si>
    <t>On-side label - N180, white PET</t>
  </si>
  <si>
    <t xml:space="preserve">Magnesium 330mg (from bisglycinate) Vitamin B6 4,5 mg </t>
  </si>
  <si>
    <t>Bifidobacterium Bifidum 2 Billion CFU
Lactobacillus Acidophilus 3 Billion CFU
Lactobacillus Rhamnosus 2 Billion CFU
Lactobacillus Salivarius 1 Billion CFU
Streptococcus Thermophilus 2 Billion CFU
inulin prebiotic (from chicory root) 100mg</t>
  </si>
  <si>
    <t>N60, white PET, On-side label</t>
  </si>
  <si>
    <t>Pet Probiotic complex</t>
  </si>
  <si>
    <t>Streptococcus thermophilus 0,33 billion CFU
Bifidobacterium bifidum 0,33 billion CFU
Lactobacillus Acidophilus 0,33 Billion CFU</t>
  </si>
  <si>
    <t>N100, white PET, On-side label</t>
  </si>
  <si>
    <t>N120, white PET, On-side label</t>
  </si>
  <si>
    <t>Обьем банки</t>
  </si>
  <si>
    <t>Договор</t>
  </si>
  <si>
    <t>Регистрация этикетки</t>
  </si>
  <si>
    <t>20000 pcs</t>
  </si>
  <si>
    <t>30000 pcs</t>
  </si>
  <si>
    <t>EUR w/o VAT 24%</t>
  </si>
  <si>
    <t>Bottle 100ml + peel off label - N30</t>
  </si>
  <si>
    <t>75/100ml</t>
  </si>
  <si>
    <t>Bottle 100ml + peel off label - N60</t>
  </si>
  <si>
    <t>100ml</t>
  </si>
  <si>
    <t>Bottle 100ml + peel off label - N90</t>
  </si>
  <si>
    <t>Bottle 100ml + peel off label - N120</t>
  </si>
  <si>
    <t>200/250ml</t>
  </si>
  <si>
    <t>Bottle 100ml + peel off label - N180</t>
  </si>
  <si>
    <t>Bottle 200ml + peel off label - N30</t>
  </si>
  <si>
    <t>Bottle 200ml + peel off label - N60</t>
  </si>
  <si>
    <t>Bottle 200ml + peel off label - N90</t>
  </si>
  <si>
    <t>Bottle 200ml + peel off label - N120</t>
  </si>
  <si>
    <t>Bottle 200ml + peel off label - N180</t>
  </si>
  <si>
    <t>25000 pcs</t>
  </si>
  <si>
    <t>Bottle + peel off label - N30</t>
  </si>
  <si>
    <t>Bottle + peel off label - N60</t>
  </si>
  <si>
    <t>Bottle + peel off label - N90</t>
  </si>
  <si>
    <t>Bottle + peel off label - N120</t>
  </si>
  <si>
    <t>Bottle + peel off label - N180</t>
  </si>
  <si>
    <t>cream spray 50 ml (Label + box, no infolist.)</t>
  </si>
  <si>
    <t>50ml</t>
  </si>
  <si>
    <t>30 day</t>
  </si>
  <si>
    <t xml:space="preserve">Aqua, Glycerin, Caprylic/Capric Triglyceride, 
Niacinamide, Hydroxyethyl Acrylate/Sodium 
Acryloyldimethyl Taurate Copolymer, Prunus 
Amygdalus Dulcis Oil, Polisorbate 80, 
Panthenol, Urea, Tocopherol, Squalane, 
Phenoxyethanol, Ethylhexylglycerin, 
Collodial Gold, Caprylyl Glycol, Retinol, 
Parfum, Undecane, Tridecane,Geraniol, Linalool </t>
  </si>
  <si>
    <t>cream spray 50 ml (White plastic bottle with spray (50 ml), label and box, no infolist.)</t>
  </si>
  <si>
    <t xml:space="preserve"> Aqua, Glycerin, Caprylic/Capric Triglyceride, 
Niacinamide, Hydroxyethyl Acrylate/Sodium 
Acryloyldimethyl Taurate Copolymer, Prunus 
Amygdalus Dulcis Oil, Polisorbate 80, 
Panthenol, Urea, Tocopherol, Squalane, 
Phenoxyethanol, Ethylhexylglycerin, 
Collodial Gold, Caprylyl Glycol, Retinol, 
Parfum, Undecane, Tridecane,Geraniol, Linalool</t>
  </si>
  <si>
    <t>cream spray 50 m (White plastic bottle with spray (50 ml), peel-off label and box, no infolist) 5 центов</t>
  </si>
  <si>
    <t>05% 3-50</t>
  </si>
  <si>
    <t>cream spray 30 ml classic label + box + lifter</t>
  </si>
  <si>
    <t>cream spray 30 ml 3 side label</t>
  </si>
  <si>
    <t>EUR w/o VAT 21%</t>
  </si>
  <si>
    <t>Inositol 180 caps</t>
  </si>
  <si>
    <t>Банка 200мл + наклейка</t>
  </si>
  <si>
    <t>Magnesium Citrate +B6 180 caps</t>
  </si>
  <si>
    <t>Magnesium bisglycinate + B6, Acai Berry Extract, Goji Extract 120 caps</t>
  </si>
  <si>
    <t xml:space="preserve">600 mg/ per 1 caps </t>
  </si>
  <si>
    <t>600 mg/ per 1 caps</t>
  </si>
  <si>
    <t>эксклюзив 1 год</t>
  </si>
  <si>
    <t>erascientifico.com</t>
  </si>
  <si>
    <t xml:space="preserve">EUR w/o VAT 21%	 (Латвия)						</t>
  </si>
  <si>
    <t>2000 pcs</t>
  </si>
  <si>
    <t>Per serving (2 capsules):</t>
  </si>
  <si>
    <t xml:space="preserve">Комментарии: 1000мг инозитола выбрали как оптимальнузю дозировку на две капсулы. На капсулу выходит 500мг. Если хотите больше, нам нужно будет делать тесты. </t>
  </si>
  <si>
    <t>Myo-inositol 1000mg</t>
  </si>
  <si>
    <t>Folic acid (from methylfolate) 400mcg</t>
  </si>
  <si>
    <t>Этикетка peel off label</t>
  </si>
  <si>
    <t>Итого</t>
  </si>
  <si>
    <t>Per 1 capsule: 
Magnesium 200mg (Bisglycinate and oxide blend) Vitamin B6 1,5mg</t>
  </si>
  <si>
    <t>On-side label- N120</t>
  </si>
  <si>
    <t>8-9 weeks first</t>
  </si>
  <si>
    <t>after 6-8 weeks</t>
  </si>
  <si>
    <t>Per 1 capsule:
Magnesium 110mg (from bisglycinate) Vitamin B6 1,5mg</t>
  </si>
  <si>
    <t>On-side label - N120</t>
  </si>
  <si>
    <t>On-side label- N180</t>
  </si>
  <si>
    <t>Magnesium 100mg complex (from citrate)</t>
  </si>
  <si>
    <t>Per serving (3 capsules):</t>
  </si>
  <si>
    <t>Magnesium (from magnesium citrate) 300mg</t>
  </si>
  <si>
    <t xml:space="preserve"> 100mg complex (from citrate), N180, white PET, On-side label</t>
  </si>
  <si>
    <t>Vitamin B6 4,5 mg</t>
  </si>
  <si>
    <t>Magnesium 110mg complex (from bisglycinate)</t>
  </si>
  <si>
    <t>110mg complex (from bisglycinate), N180, white PET, On-side label</t>
  </si>
  <si>
    <t>Magnesium 330mg (from bisglycinate)</t>
  </si>
  <si>
    <t>Per serving (1 capsule):</t>
  </si>
  <si>
    <t>Probiotics + Prebiotics</t>
  </si>
  <si>
    <t>Bifidobacterium Bifidum 2 Billion CFU</t>
  </si>
  <si>
    <t>Lactobacillus Acidophilus 3 Billion CFU</t>
  </si>
  <si>
    <t>Lactobacillus Rhamnosus 2 Billion CFU</t>
  </si>
  <si>
    <t>Lactobacillus Salivarius 1 Billion CFU</t>
  </si>
  <si>
    <t>Streptococcus Thermophilus 2 Billion CFU</t>
  </si>
  <si>
    <t>inulin prebiotic (from chicory root) 100mg</t>
  </si>
  <si>
    <t>Per serving (1 capsules):</t>
  </si>
  <si>
    <t>Комментарии: комплекс похожий на ваш референс</t>
  </si>
  <si>
    <t>Streptococcus thermophilus 0,33 billion CFU</t>
  </si>
  <si>
    <t>Bifidobacterium bifidum 0,33 billion CFU</t>
  </si>
  <si>
    <t>Lactobacillus Acidophilus 0,33 Billion CFU</t>
  </si>
  <si>
    <t>Total: 1 billion CFU</t>
  </si>
  <si>
    <t>Прямая юнит экономика</t>
  </si>
  <si>
    <t>Затраты на производство продукции, доставку, листинги = себестоимость на складе АМАЗОН</t>
  </si>
  <si>
    <t>Производство</t>
  </si>
  <si>
    <t>Логистика, шипменты</t>
  </si>
  <si>
    <t>Лейбл на банку</t>
  </si>
  <si>
    <t>Бренд, юридические вопросы</t>
  </si>
  <si>
    <t>Маркетинг товара и карточки</t>
  </si>
  <si>
    <t>Дополнительные затраты</t>
  </si>
  <si>
    <t xml:space="preserve">Итого затраты на производство     
        </t>
  </si>
  <si>
    <t>Цена продажи товара предполагаемая</t>
  </si>
  <si>
    <t xml:space="preserve">Комиссии Амазон	
	</t>
  </si>
  <si>
    <t xml:space="preserve">Налог
</t>
  </si>
  <si>
    <t>Маржинальность без рекламы</t>
  </si>
  <si>
    <t xml:space="preserve">Затраты на рекламу	</t>
  </si>
  <si>
    <t>Без учета препа</t>
  </si>
  <si>
    <t>С учетом препа</t>
  </si>
  <si>
    <t>Цена клика передельная</t>
  </si>
  <si>
    <t>конверсия %</t>
  </si>
  <si>
    <t>Прайс завод,€</t>
  </si>
  <si>
    <t>Заказ всего, ед</t>
  </si>
  <si>
    <t>Отправка завод-амазон, ед</t>
  </si>
  <si>
    <t>Отправка завод-склад, ед</t>
  </si>
  <si>
    <t>Отправка склад-амазон, ед</t>
  </si>
  <si>
    <t>Остаток на складе,ед</t>
  </si>
  <si>
    <t>Сумма заказа, €</t>
  </si>
  <si>
    <t>Доставка Завод - Амазон ,€</t>
  </si>
  <si>
    <t>Доставка завод - амазон за юнит, €</t>
  </si>
  <si>
    <t>Доставка завод - преп , €</t>
  </si>
  <si>
    <t>Доставка завод-преп за юнит, €</t>
  </si>
  <si>
    <t>Доставка преп- амазон, €</t>
  </si>
  <si>
    <t>Доставка склад- амазон за юнит, €</t>
  </si>
  <si>
    <t>Лейбл Амазон, €</t>
  </si>
  <si>
    <t>Лейбл склад, €</t>
  </si>
  <si>
    <t>Преп склад на юнит, €</t>
  </si>
  <si>
    <t>Регистрация бренда, единоразово</t>
  </si>
  <si>
    <t>Регистрация бренда на 1 шт в среднем 0,3</t>
  </si>
  <si>
    <t>Дизайн этикетки, €</t>
  </si>
  <si>
    <t>Дизайн затраты на 1 шт в среднем, €</t>
  </si>
  <si>
    <t>Дизайн листинга,€</t>
  </si>
  <si>
    <t>Дизайн листинга в срендем на 1 шт,€</t>
  </si>
  <si>
    <t>Листинг SEO,€</t>
  </si>
  <si>
    <t>Листинг SEO, в среднем на 1 шт</t>
  </si>
  <si>
    <t>Доп затраты,(нотификакация и тд)</t>
  </si>
  <si>
    <t>доп затраты, на 1 шт</t>
  </si>
  <si>
    <t>1 ед,  €, без учета склада</t>
  </si>
  <si>
    <t>С учетом склада, €</t>
  </si>
  <si>
    <t>Комиссия амазона15%</t>
  </si>
  <si>
    <t>НДС на комиссию амазон, €</t>
  </si>
  <si>
    <t xml:space="preserve">Плата за обработку FBA, ед </t>
  </si>
  <si>
    <t>Хранение в месяц</t>
  </si>
  <si>
    <t>%</t>
  </si>
  <si>
    <t>Без склада, €</t>
  </si>
  <si>
    <t>С учетом склада</t>
  </si>
  <si>
    <t>Страна</t>
  </si>
  <si>
    <t>Стандарт</t>
  </si>
  <si>
    <t>Пробиотик для животных Nutriliq</t>
  </si>
  <si>
    <t>Германия</t>
  </si>
  <si>
    <t>Франция</t>
  </si>
  <si>
    <t>Испания</t>
  </si>
  <si>
    <t>Италия</t>
  </si>
  <si>
    <t>Inositol Merywood - Европа</t>
  </si>
  <si>
    <t>Магний цитрат Merywood - Европа</t>
  </si>
  <si>
    <t>Пробиотик Люди Merywood - Европа</t>
  </si>
  <si>
    <t>Ретинол Липосомал Merywood - Европа</t>
  </si>
  <si>
    <t>продукт</t>
  </si>
  <si>
    <t>задачи</t>
  </si>
  <si>
    <t>меривуд</t>
  </si>
  <si>
    <t>подписание договора</t>
  </si>
  <si>
    <t>закуп сырья</t>
  </si>
  <si>
    <t>бад</t>
  </si>
  <si>
    <t>производство</t>
  </si>
  <si>
    <t>рег этикетки 550е х страну</t>
  </si>
  <si>
    <t>ретинол</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</si>
</sst>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color theme="1"/>
      <name val="Arial"/>
      <scheme val="minor"/>
    </font>
    <font>
      <b/>
      <sz val="11.0"/>
      <color theme="1"/>
      <name val="Arial"/>
      <scheme val="minor"/>
    </font>
    <font>
      <b/>
      <sz val="15.0"/>
      <color theme="1"/>
      <name val="Arial"/>
      <scheme val="minor"/>
    </font>
    <font/>
    <font>
      <u/>
      <sz val="15.0"/>
      <color rgb="FF0000FF"/>
      <name val="Arial"/>
    </font>
    <font>
      <color rgb="FF000000"/>
      <name val="Arial"/>
    </font>
    <font>
      <b/>
      <color rgb="FF000000"/>
      <name val="Arial"/>
    </font>
    <font>
      <color theme="1"/>
      <name val="Arial"/>
    </font>
    <font>
      <sz val="6.0"/>
      <color theme="1"/>
      <name val="Arial"/>
    </font>
    <font>
      <b/>
      <color theme="1"/>
      <name val="Arial"/>
    </font>
    <font>
      <b/>
      <sz val="6.0"/>
      <color theme="1"/>
      <name val="Arial"/>
    </font>
    <font>
      <b/>
      <sz val="6.0"/>
      <color theme="1"/>
      <name val="Arial"/>
      <scheme val="minor"/>
    </font>
    <font>
      <b/>
      <sz val="8.0"/>
      <color theme="1"/>
      <name val="Arial"/>
    </font>
    <font>
      <sz val="6.0"/>
      <color theme="1"/>
      <name val="Arial"/>
      <scheme val="minor"/>
    </font>
    <font>
      <i/>
      <sz val="6.0"/>
      <color theme="1"/>
      <name val="Arial"/>
    </font>
    <font>
      <b/>
      <sz val="11.0"/>
      <color theme="1"/>
      <name val="Nunito"/>
    </font>
  </fonts>
  <fills count="14">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9FC5E8"/>
        <bgColor rgb="FF9FC5E8"/>
      </patternFill>
    </fill>
    <fill>
      <patternFill patternType="solid">
        <fgColor rgb="FFE06666"/>
        <bgColor rgb="FFE06666"/>
      </patternFill>
    </fill>
    <fill>
      <patternFill patternType="solid">
        <fgColor rgb="FFFFFF00"/>
        <bgColor rgb="FFFFFF00"/>
      </patternFill>
    </fill>
    <fill>
      <patternFill patternType="solid">
        <fgColor rgb="FFFCE5CD"/>
        <bgColor rgb="FFFCE5CD"/>
      </patternFill>
    </fill>
    <fill>
      <patternFill patternType="solid">
        <fgColor rgb="FFFFF2CC"/>
        <bgColor rgb="FFFFF2CC"/>
      </patternFill>
    </fill>
  </fills>
  <borders count="17">
    <border/>
    <border>
      <top style="thick">
        <color rgb="FF000000"/>
      </top>
    </border>
    <border>
      <left style="thick">
        <color rgb="FF000000"/>
      </left>
      <top style="thick">
        <color rgb="FF000000"/>
      </top>
    </border>
    <border>
      <right style="thick">
        <color rgb="FF000000"/>
      </right>
      <top style="thick">
        <color rgb="FF000000"/>
      </top>
    </border>
    <border>
      <right style="double">
        <color rgb="FF000000"/>
      </right>
      <top style="double">
        <color rgb="FF000000"/>
      </top>
    </border>
    <border>
      <left style="thick">
        <color rgb="FF000000"/>
      </left>
    </border>
    <border>
      <right style="thick">
        <color rgb="FF000000"/>
      </right>
    </border>
    <border>
      <right style="double">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bottom style="thick">
        <color rgb="FF000000"/>
      </bottom>
    </border>
    <border>
      <bottom style="thick">
        <color rgb="FF000000"/>
      </bottom>
    </border>
    <border>
      <left style="thin">
        <color rgb="FF000000"/>
      </left>
      <right style="thin">
        <color rgb="FF000000"/>
      </right>
      <top style="thin">
        <color rgb="FF000000"/>
      </top>
      <bottom style="thick">
        <color rgb="FF000000"/>
      </bottom>
    </border>
    <border>
      <right style="thick">
        <color rgb="FF000000"/>
      </right>
      <bottom style="thick">
        <color rgb="FF000000"/>
      </bottom>
    </border>
    <border>
      <right style="double">
        <color rgb="FF000000"/>
      </right>
      <bottom style="double">
        <color rgb="FF000000"/>
      </bottom>
    </border>
    <border>
      <top style="thin">
        <color rgb="FF000000"/>
      </top>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Alignment="1" applyFill="1" applyFont="1">
      <alignment readingOrder="0"/>
    </xf>
    <xf borderId="0" fillId="0" fontId="2" numFmtId="0" xfId="0" applyAlignment="1" applyFont="1">
      <alignment horizontal="center" vertical="center"/>
    </xf>
    <xf borderId="0" fillId="0" fontId="2" numFmtId="0" xfId="0" applyAlignment="1" applyFont="1">
      <alignment readingOrder="0" shrinkToFit="0" wrapText="0"/>
    </xf>
    <xf borderId="0" fillId="0" fontId="2" numFmtId="0" xfId="0" applyAlignment="1" applyFont="1">
      <alignment readingOrder="0"/>
    </xf>
    <xf borderId="0" fillId="0" fontId="2" numFmtId="0" xfId="0" applyAlignment="1" applyFont="1">
      <alignment horizontal="center" readingOrder="0" vertical="center"/>
    </xf>
    <xf borderId="0" fillId="2" fontId="1" numFmtId="0" xfId="0" applyAlignment="1" applyFont="1">
      <alignment readingOrder="0"/>
    </xf>
    <xf borderId="1" fillId="3" fontId="2" numFmtId="0" xfId="0" applyAlignment="1" applyBorder="1" applyFill="1" applyFont="1">
      <alignment readingOrder="0"/>
    </xf>
    <xf borderId="1" fillId="0" fontId="1" numFmtId="0" xfId="0" applyBorder="1" applyFont="1"/>
    <xf borderId="1" fillId="0" fontId="2" numFmtId="0" xfId="0" applyBorder="1" applyFont="1"/>
    <xf borderId="1" fillId="0" fontId="2" numFmtId="0" xfId="0" applyAlignment="1" applyBorder="1" applyFont="1">
      <alignment horizontal="center" vertical="center"/>
    </xf>
    <xf borderId="1" fillId="2" fontId="2" numFmtId="0" xfId="0" applyAlignment="1" applyBorder="1" applyFont="1">
      <alignment readingOrder="0"/>
    </xf>
    <xf borderId="0" fillId="0" fontId="2" numFmtId="0" xfId="0" applyFont="1"/>
    <xf borderId="1" fillId="0" fontId="2" numFmtId="0" xfId="0" applyAlignment="1" applyBorder="1" applyFont="1">
      <alignment readingOrder="0"/>
    </xf>
    <xf borderId="0" fillId="0" fontId="3" numFmtId="0" xfId="0" applyAlignment="1" applyFont="1">
      <alignment readingOrder="0"/>
    </xf>
    <xf borderId="2" fillId="4" fontId="4" numFmtId="0" xfId="0" applyAlignment="1" applyBorder="1" applyFill="1" applyFont="1">
      <alignment readingOrder="0"/>
    </xf>
    <xf borderId="1" fillId="0" fontId="1" numFmtId="0" xfId="0" applyAlignment="1" applyBorder="1" applyFont="1">
      <alignment horizontal="center" readingOrder="0"/>
    </xf>
    <xf borderId="1" fillId="0" fontId="5" numFmtId="0" xfId="0" applyBorder="1" applyFont="1"/>
    <xf borderId="3" fillId="0" fontId="5" numFmtId="0" xfId="0" applyBorder="1" applyFont="1"/>
    <xf borderId="4" fillId="0" fontId="2" numFmtId="0" xfId="0" applyBorder="1" applyFont="1"/>
    <xf borderId="5" fillId="0" fontId="2" numFmtId="0" xfId="0" applyAlignment="1" applyBorder="1" applyFont="1">
      <alignment readingOrder="0"/>
    </xf>
    <xf borderId="6" fillId="0" fontId="2" numFmtId="0" xfId="0" applyBorder="1" applyFont="1"/>
    <xf borderId="7" fillId="0" fontId="2" numFmtId="0" xfId="0" applyBorder="1" applyFont="1"/>
    <xf borderId="5" fillId="0" fontId="2" numFmtId="0" xfId="0" applyBorder="1" applyFont="1"/>
    <xf borderId="6" fillId="0" fontId="2" numFmtId="0" xfId="0" applyAlignment="1" applyBorder="1" applyFont="1">
      <alignment readingOrder="0"/>
    </xf>
    <xf borderId="0" fillId="0" fontId="2" numFmtId="49" xfId="0" applyAlignment="1" applyFont="1" applyNumberFormat="1">
      <alignment readingOrder="0"/>
    </xf>
    <xf borderId="0" fillId="5" fontId="2" numFmtId="0" xfId="0" applyAlignment="1" applyFill="1" applyFont="1">
      <alignment readingOrder="0"/>
    </xf>
    <xf borderId="8" fillId="0" fontId="2"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0" fillId="0" fontId="2" numFmtId="0" xfId="0" applyAlignment="1" applyFont="1">
      <alignment readingOrder="0" shrinkToFit="0" wrapText="0"/>
    </xf>
    <xf borderId="0" fillId="6" fontId="2" numFmtId="0" xfId="0" applyAlignment="1" applyFill="1" applyFont="1">
      <alignment readingOrder="0"/>
    </xf>
    <xf borderId="11" fillId="0" fontId="2" numFmtId="0" xfId="0" applyBorder="1" applyFont="1"/>
    <xf borderId="12" fillId="0" fontId="2" numFmtId="0" xfId="0" applyBorder="1" applyFont="1"/>
    <xf borderId="13" fillId="0" fontId="2" numFmtId="0" xfId="0" applyAlignment="1" applyBorder="1" applyFont="1">
      <alignment readingOrder="0"/>
    </xf>
    <xf borderId="12" fillId="0" fontId="2" numFmtId="0" xfId="0" applyAlignment="1" applyBorder="1" applyFont="1">
      <alignment readingOrder="0"/>
    </xf>
    <xf borderId="14" fillId="0" fontId="2" numFmtId="0" xfId="0" applyBorder="1" applyFont="1"/>
    <xf borderId="15" fillId="0" fontId="2" numFmtId="0" xfId="0" applyBorder="1" applyFont="1"/>
    <xf borderId="2" fillId="0" fontId="2" numFmtId="0" xfId="0" applyBorder="1" applyFont="1"/>
    <xf borderId="3" fillId="0" fontId="2" numFmtId="0" xfId="0" applyBorder="1" applyFont="1"/>
    <xf borderId="16" fillId="0" fontId="2" numFmtId="0" xfId="0" applyBorder="1" applyFont="1"/>
    <xf borderId="5" fillId="4" fontId="4" numFmtId="0" xfId="0" applyAlignment="1" applyBorder="1" applyFont="1">
      <alignment readingOrder="0"/>
    </xf>
    <xf borderId="0" fillId="0" fontId="1" numFmtId="0" xfId="0" applyAlignment="1" applyFont="1">
      <alignment horizontal="center" readingOrder="0"/>
    </xf>
    <xf borderId="6" fillId="0" fontId="5" numFmtId="0" xfId="0" applyBorder="1" applyFont="1"/>
    <xf borderId="7" fillId="3" fontId="2" numFmtId="0" xfId="0" applyAlignment="1" applyBorder="1" applyFont="1">
      <alignment readingOrder="0"/>
    </xf>
    <xf borderId="2" fillId="4" fontId="6" numFmtId="0" xfId="0" applyAlignment="1" applyBorder="1" applyFont="1">
      <alignment readingOrder="0"/>
    </xf>
    <xf borderId="5" fillId="0" fontId="2" numFmtId="0" xfId="0" applyAlignment="1" applyBorder="1" applyFont="1">
      <alignment readingOrder="0" shrinkToFit="0" wrapText="1"/>
    </xf>
    <xf borderId="0" fillId="0" fontId="7" numFmtId="0" xfId="0" applyAlignment="1" applyFont="1">
      <alignment readingOrder="0"/>
    </xf>
    <xf borderId="0" fillId="2" fontId="2" numFmtId="0" xfId="0" applyFont="1"/>
    <xf borderId="5" fillId="0" fontId="7" numFmtId="0" xfId="0" applyAlignment="1" applyBorder="1" applyFont="1">
      <alignment readingOrder="0"/>
    </xf>
    <xf borderId="5" fillId="0" fontId="8" numFmtId="0" xfId="0" applyAlignment="1" applyBorder="1" applyFont="1">
      <alignment readingOrder="0"/>
    </xf>
    <xf borderId="0" fillId="7" fontId="7" numFmtId="0" xfId="0" applyAlignment="1" applyFill="1" applyFont="1">
      <alignment readingOrder="0"/>
    </xf>
    <xf borderId="0" fillId="0" fontId="7" numFmtId="0" xfId="0" applyFont="1"/>
    <xf borderId="12" fillId="0" fontId="7" numFmtId="0" xfId="0" applyAlignment="1" applyBorder="1" applyFont="1">
      <alignment readingOrder="0"/>
    </xf>
    <xf borderId="0" fillId="8" fontId="8" numFmtId="0" xfId="0" applyAlignment="1" applyFill="1" applyFont="1">
      <alignment horizontal="center" readingOrder="0" vertical="center"/>
    </xf>
    <xf borderId="0" fillId="0" fontId="9" numFmtId="0" xfId="0" applyAlignment="1" applyFont="1">
      <alignment horizontal="center"/>
    </xf>
    <xf borderId="0" fillId="0" fontId="9" numFmtId="0" xfId="0" applyAlignment="1" applyFont="1">
      <alignment readingOrder="0"/>
    </xf>
    <xf borderId="0" fillId="0" fontId="2" numFmtId="2" xfId="0" applyFont="1" applyNumberFormat="1"/>
    <xf borderId="8" fillId="0" fontId="2" numFmtId="0" xfId="0" applyBorder="1" applyFont="1"/>
    <xf borderId="0" fillId="0" fontId="10" numFmtId="2" xfId="0" applyAlignment="1" applyFont="1" applyNumberFormat="1">
      <alignment horizontal="center" shrinkToFit="0" vertical="bottom" wrapText="1"/>
    </xf>
    <xf borderId="9" fillId="0" fontId="10" numFmtId="2" xfId="0" applyAlignment="1" applyBorder="1" applyFont="1" applyNumberFormat="1">
      <alignment horizontal="center" shrinkToFit="0" vertical="bottom" wrapText="1"/>
    </xf>
    <xf borderId="0" fillId="0" fontId="11" numFmtId="0" xfId="0" applyAlignment="1" applyFont="1">
      <alignment horizontal="center"/>
    </xf>
    <xf borderId="0" fillId="0" fontId="11" numFmtId="0" xfId="0" applyAlignment="1" applyFont="1">
      <alignment readingOrder="0"/>
    </xf>
    <xf borderId="0" fillId="0" fontId="12" numFmtId="2" xfId="0" applyAlignment="1" applyFont="1" applyNumberFormat="1">
      <alignment horizontal="center" vertical="bottom"/>
    </xf>
    <xf borderId="0" fillId="0" fontId="12" numFmtId="2" xfId="0" applyAlignment="1" applyFont="1" applyNumberFormat="1">
      <alignment horizontal="center" shrinkToFit="0" vertical="bottom" wrapText="1"/>
    </xf>
    <xf borderId="0" fillId="0" fontId="12" numFmtId="2" xfId="0" applyAlignment="1" applyFont="1" applyNumberFormat="1">
      <alignment horizontal="center" readingOrder="0" shrinkToFit="0" vertical="bottom" wrapText="1"/>
    </xf>
    <xf borderId="9" fillId="0" fontId="12" numFmtId="2" xfId="0" applyAlignment="1" applyBorder="1" applyFont="1" applyNumberFormat="1">
      <alignment horizontal="center" readingOrder="0" shrinkToFit="0" vertical="bottom" wrapText="1"/>
    </xf>
    <xf borderId="0" fillId="9" fontId="13" numFmtId="2" xfId="0" applyAlignment="1" applyFill="1" applyFont="1" applyNumberFormat="1">
      <alignment horizontal="center" readingOrder="0" shrinkToFit="0" wrapText="1"/>
    </xf>
    <xf borderId="0" fillId="0" fontId="14" numFmtId="2" xfId="0" applyAlignment="1" applyFont="1" applyNumberFormat="1">
      <alignment horizontal="center" readingOrder="0" shrinkToFit="0" wrapText="1"/>
    </xf>
    <xf borderId="0" fillId="0" fontId="14" numFmtId="2" xfId="0" applyAlignment="1" applyFont="1" applyNumberFormat="1">
      <alignment horizontal="center" shrinkToFit="0" wrapText="1"/>
    </xf>
    <xf borderId="0" fillId="0" fontId="14" numFmtId="2" xfId="0" applyAlignment="1" applyFont="1" applyNumberFormat="1">
      <alignment horizontal="center" shrinkToFit="0" vertical="bottom" wrapText="1"/>
    </xf>
    <xf borderId="0" fillId="0" fontId="12" numFmtId="2" xfId="0" applyAlignment="1" applyFont="1" applyNumberFormat="1">
      <alignment horizontal="center" shrinkToFit="0" wrapText="1"/>
    </xf>
    <xf borderId="0" fillId="0" fontId="10" numFmtId="0" xfId="0" applyAlignment="1" applyFont="1">
      <alignment horizontal="center" shrinkToFit="0" wrapText="1"/>
    </xf>
    <xf borderId="0" fillId="0" fontId="15" numFmtId="0" xfId="0" applyAlignment="1" applyFont="1">
      <alignment shrinkToFit="0" wrapText="1"/>
    </xf>
    <xf borderId="0" fillId="0" fontId="10" numFmtId="2" xfId="0" applyAlignment="1" applyFont="1" applyNumberFormat="1">
      <alignment horizontal="center" readingOrder="0" shrinkToFit="0" vertical="bottom" wrapText="1"/>
    </xf>
    <xf borderId="0" fillId="4" fontId="10" numFmtId="2" xfId="0" applyAlignment="1" applyFont="1" applyNumberFormat="1">
      <alignment horizontal="center" readingOrder="0" shrinkToFit="0" vertical="bottom" wrapText="1"/>
    </xf>
    <xf borderId="0" fillId="4" fontId="15" numFmtId="0" xfId="0" applyAlignment="1" applyFont="1">
      <alignment readingOrder="0" shrinkToFit="0" wrapText="1"/>
    </xf>
    <xf borderId="0" fillId="0" fontId="15" numFmtId="0" xfId="0" applyAlignment="1" applyFont="1">
      <alignment readingOrder="0" shrinkToFit="0" wrapText="1"/>
    </xf>
    <xf borderId="9" fillId="0" fontId="10" numFmtId="2" xfId="0" applyAlignment="1" applyBorder="1" applyFont="1" applyNumberFormat="1">
      <alignment horizontal="center" readingOrder="0" shrinkToFit="0" vertical="bottom" wrapText="1"/>
    </xf>
    <xf borderId="0" fillId="0" fontId="10" numFmtId="2" xfId="0" applyAlignment="1" applyFont="1" applyNumberFormat="1">
      <alignment readingOrder="0" shrinkToFit="0" wrapText="1"/>
    </xf>
    <xf borderId="0" fillId="0" fontId="10" numFmtId="2" xfId="0" applyAlignment="1" applyFont="1" applyNumberFormat="1">
      <alignment horizontal="center" readingOrder="0" shrinkToFit="0" wrapText="1"/>
    </xf>
    <xf borderId="0" fillId="10" fontId="16" numFmtId="9" xfId="0" applyAlignment="1" applyFill="1" applyFont="1" applyNumberFormat="1">
      <alignment horizontal="center" readingOrder="0" shrinkToFit="0" vertical="bottom" wrapText="1"/>
    </xf>
    <xf borderId="0" fillId="0" fontId="10" numFmtId="9" xfId="0" applyAlignment="1" applyFont="1" applyNumberFormat="1">
      <alignment horizontal="center" shrinkToFit="0" vertical="bottom" wrapText="1"/>
    </xf>
    <xf borderId="0" fillId="0" fontId="10" numFmtId="10" xfId="0" applyAlignment="1" applyFont="1" applyNumberFormat="1">
      <alignment horizontal="center" shrinkToFit="0" vertical="bottom" wrapText="1"/>
    </xf>
    <xf borderId="0" fillId="0" fontId="9" numFmtId="0" xfId="0" applyFont="1"/>
    <xf borderId="0" fillId="11" fontId="2" numFmtId="0" xfId="0" applyAlignment="1" applyFill="1" applyFont="1">
      <alignment readingOrder="0"/>
    </xf>
    <xf borderId="9" fillId="0" fontId="2" numFmtId="2" xfId="0" applyBorder="1" applyFont="1" applyNumberFormat="1"/>
    <xf borderId="0" fillId="0" fontId="17" numFmtId="0" xfId="0" applyAlignment="1" applyFont="1">
      <alignment readingOrder="0" shrinkToFit="0" vertical="bottom" wrapText="0"/>
    </xf>
    <xf borderId="0" fillId="0" fontId="9" numFmtId="0" xfId="0" applyAlignment="1" applyFont="1">
      <alignment vertical="bottom"/>
    </xf>
    <xf borderId="9" fillId="0" fontId="2" numFmtId="0" xfId="0" applyBorder="1" applyFont="1"/>
    <xf borderId="0" fillId="0" fontId="11" numFmtId="0" xfId="0" applyAlignment="1" applyFont="1">
      <alignment vertical="bottom"/>
    </xf>
    <xf borderId="0" fillId="0" fontId="9" numFmtId="0" xfId="0" applyAlignment="1" applyFont="1">
      <alignment readingOrder="0" vertical="bottom"/>
    </xf>
    <xf borderId="0" fillId="0" fontId="11" numFmtId="0" xfId="0" applyAlignment="1" applyFont="1">
      <alignment readingOrder="0" vertical="bottom"/>
    </xf>
    <xf borderId="0" fillId="0" fontId="9" numFmtId="0" xfId="0" applyAlignment="1" applyFont="1">
      <alignment horizontal="center" readingOrder="0"/>
    </xf>
    <xf borderId="0" fillId="0" fontId="11" numFmtId="0" xfId="0" applyAlignment="1" applyFont="1">
      <alignment horizontal="right" readingOrder="0" vertical="bottom"/>
    </xf>
    <xf borderId="0" fillId="0" fontId="7" numFmtId="0" xfId="0" applyAlignment="1" applyFont="1">
      <alignment horizontal="center" readingOrder="0" vertical="center"/>
    </xf>
    <xf borderId="0" fillId="0" fontId="9" numFmtId="0" xfId="0" applyAlignment="1" applyFont="1">
      <alignment horizontal="right" readingOrder="0" vertical="bottom"/>
    </xf>
    <xf borderId="0" fillId="0" fontId="9" numFmtId="0" xfId="0" applyAlignment="1" applyFont="1">
      <alignment horizontal="right" vertical="bottom"/>
    </xf>
    <xf borderId="10" fillId="0" fontId="2" numFmtId="0" xfId="0" applyBorder="1" applyFont="1"/>
    <xf borderId="0" fillId="0" fontId="2" numFmtId="0" xfId="0" applyAlignment="1" applyFont="1">
      <alignment horizontal="center" readingOrder="0"/>
    </xf>
    <xf borderId="0" fillId="12" fontId="2" numFmtId="0" xfId="0" applyFill="1" applyFont="1"/>
    <xf borderId="0" fillId="1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390525</xdr:colOff>
      <xdr:row>0</xdr:row>
      <xdr:rowOff>0</xdr:rowOff>
    </xdr:from>
    <xdr:ext cx="2171700" cy="115252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876300</xdr:colOff>
      <xdr:row>0</xdr:row>
      <xdr:rowOff>9525</xdr:rowOff>
    </xdr:from>
    <xdr:ext cx="2219325" cy="1971675"/>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247650</xdr:colOff>
      <xdr:row>0</xdr:row>
      <xdr:rowOff>9525</xdr:rowOff>
    </xdr:from>
    <xdr:ext cx="2286000" cy="2352675"/>
    <xdr:pic>
      <xdr:nvPicPr>
        <xdr:cNvPr id="0" name="image2.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76</xdr:row>
      <xdr:rowOff>133350</xdr:rowOff>
    </xdr:from>
    <xdr:ext cx="5915025" cy="1981200"/>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54</xdr:row>
      <xdr:rowOff>104775</xdr:rowOff>
    </xdr:from>
    <xdr:ext cx="5067300" cy="1743075"/>
    <xdr:pic>
      <xdr:nvPicPr>
        <xdr:cNvPr id="0" name="image7.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86</xdr:row>
      <xdr:rowOff>133350</xdr:rowOff>
    </xdr:from>
    <xdr:ext cx="5829300" cy="3448050"/>
    <xdr:pic>
      <xdr:nvPicPr>
        <xdr:cNvPr id="0" name="image5.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704850</xdr:colOff>
      <xdr:row>60</xdr:row>
      <xdr:rowOff>200025</xdr:rowOff>
    </xdr:from>
    <xdr:ext cx="5934075" cy="3533775"/>
    <xdr:pic>
      <xdr:nvPicPr>
        <xdr:cNvPr id="0" name="image1.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erascientifico.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13"/>
    <col customWidth="1" min="3" max="3" width="59.63"/>
    <col customWidth="1" min="4" max="4" width="37.7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G2" s="4"/>
      <c r="H2" s="4"/>
      <c r="I2" s="4"/>
      <c r="J2" s="4"/>
    </row>
    <row r="3">
      <c r="B3" s="1" t="s">
        <v>11</v>
      </c>
      <c r="C3" s="5" t="s">
        <v>12</v>
      </c>
      <c r="D3" s="6" t="s">
        <v>13</v>
      </c>
      <c r="E3" s="6" t="s">
        <v>14</v>
      </c>
      <c r="F3" s="6" t="s">
        <v>15</v>
      </c>
      <c r="G3" s="4"/>
      <c r="H3" s="4"/>
      <c r="I3" s="7">
        <v>5.94</v>
      </c>
      <c r="J3" s="4"/>
    </row>
    <row r="4">
      <c r="B4" s="1" t="s">
        <v>16</v>
      </c>
      <c r="C4" s="5" t="s">
        <v>17</v>
      </c>
      <c r="D4" s="6" t="s">
        <v>13</v>
      </c>
      <c r="E4" s="6" t="s">
        <v>14</v>
      </c>
      <c r="F4" s="6" t="s">
        <v>18</v>
      </c>
      <c r="G4" s="4"/>
      <c r="H4" s="4"/>
      <c r="I4" s="7">
        <v>6.38</v>
      </c>
      <c r="J4" s="4"/>
    </row>
    <row r="5">
      <c r="B5" s="1" t="s">
        <v>19</v>
      </c>
      <c r="C5" s="5" t="s">
        <v>20</v>
      </c>
      <c r="D5" s="6" t="s">
        <v>13</v>
      </c>
      <c r="E5" s="6" t="s">
        <v>14</v>
      </c>
      <c r="F5" s="6" t="s">
        <v>18</v>
      </c>
      <c r="G5" s="4"/>
      <c r="H5" s="4"/>
      <c r="I5" s="7">
        <v>7.42</v>
      </c>
      <c r="J5" s="4"/>
    </row>
    <row r="6">
      <c r="B6" s="1" t="s">
        <v>21</v>
      </c>
      <c r="C6" s="5" t="s">
        <v>22</v>
      </c>
      <c r="D6" s="6" t="s">
        <v>23</v>
      </c>
      <c r="E6" s="6" t="s">
        <v>24</v>
      </c>
      <c r="F6" s="6" t="s">
        <v>18</v>
      </c>
      <c r="G6" s="4"/>
      <c r="H6" s="4"/>
      <c r="I6" s="4"/>
      <c r="J6" s="7">
        <v>8.37</v>
      </c>
    </row>
    <row r="7">
      <c r="B7" s="1"/>
      <c r="C7" s="5" t="s">
        <v>25</v>
      </c>
      <c r="D7" s="6" t="s">
        <v>23</v>
      </c>
      <c r="E7" s="6" t="s">
        <v>24</v>
      </c>
      <c r="F7" s="6" t="s">
        <v>18</v>
      </c>
      <c r="G7" s="7">
        <v>3.1</v>
      </c>
      <c r="H7" s="7">
        <v>2.6</v>
      </c>
      <c r="I7" s="4"/>
      <c r="J7" s="4"/>
    </row>
    <row r="8">
      <c r="B8" s="8" t="s">
        <v>26</v>
      </c>
      <c r="C8" s="5" t="s">
        <v>27</v>
      </c>
      <c r="D8" s="6" t="s">
        <v>28</v>
      </c>
      <c r="E8" s="6" t="s">
        <v>29</v>
      </c>
      <c r="F8" s="6" t="s">
        <v>30</v>
      </c>
      <c r="G8" s="7">
        <v>4.0</v>
      </c>
      <c r="H8" s="4"/>
      <c r="I8" s="4"/>
      <c r="J8" s="4"/>
    </row>
    <row r="9">
      <c r="A9" s="9" t="s">
        <v>31</v>
      </c>
      <c r="B9" s="10"/>
      <c r="C9" s="11"/>
      <c r="D9" s="11"/>
      <c r="E9" s="11"/>
      <c r="F9" s="11"/>
      <c r="G9" s="12"/>
      <c r="H9" s="12"/>
      <c r="I9" s="12"/>
      <c r="J9" s="12"/>
      <c r="K9" s="11"/>
      <c r="L9" s="11"/>
      <c r="M9" s="11"/>
      <c r="N9" s="11"/>
      <c r="O9" s="11"/>
      <c r="P9" s="11"/>
      <c r="Q9" s="11"/>
      <c r="R9" s="11"/>
      <c r="S9" s="11"/>
      <c r="T9" s="11"/>
      <c r="U9" s="11"/>
      <c r="V9" s="11"/>
      <c r="W9" s="11"/>
      <c r="X9" s="11"/>
      <c r="Y9" s="11"/>
      <c r="Z9" s="11"/>
    </row>
    <row r="10">
      <c r="B10" s="8" t="s">
        <v>11</v>
      </c>
      <c r="C10" s="6" t="s">
        <v>32</v>
      </c>
      <c r="D10" s="6" t="s">
        <v>33</v>
      </c>
      <c r="E10" s="6" t="s">
        <v>34</v>
      </c>
      <c r="G10" s="7">
        <v>3.65</v>
      </c>
      <c r="H10" s="4"/>
      <c r="I10" s="4"/>
      <c r="J10" s="4"/>
    </row>
    <row r="11">
      <c r="B11" s="1" t="s">
        <v>35</v>
      </c>
      <c r="C11" s="6" t="s">
        <v>36</v>
      </c>
      <c r="D11" s="6" t="s">
        <v>33</v>
      </c>
      <c r="E11" s="6" t="s">
        <v>34</v>
      </c>
      <c r="G11" s="7">
        <v>4.8</v>
      </c>
      <c r="H11" s="4"/>
      <c r="I11" s="4"/>
      <c r="J11" s="4"/>
    </row>
    <row r="12">
      <c r="B12" s="1"/>
      <c r="C12" s="6" t="s">
        <v>37</v>
      </c>
      <c r="D12" s="6" t="s">
        <v>33</v>
      </c>
      <c r="E12" s="6" t="s">
        <v>34</v>
      </c>
      <c r="G12" s="4"/>
      <c r="H12" s="4"/>
      <c r="I12" s="4"/>
      <c r="J12" s="7">
        <v>4.1</v>
      </c>
    </row>
    <row r="13">
      <c r="B13" s="1" t="s">
        <v>26</v>
      </c>
      <c r="C13" s="6" t="s">
        <v>38</v>
      </c>
      <c r="D13" s="6" t="s">
        <v>39</v>
      </c>
      <c r="E13" s="6" t="s">
        <v>40</v>
      </c>
      <c r="G13" s="4"/>
      <c r="H13" s="4"/>
      <c r="I13" s="7">
        <v>3.15</v>
      </c>
      <c r="J13" s="4"/>
    </row>
    <row r="14">
      <c r="A14" s="13" t="s">
        <v>41</v>
      </c>
      <c r="B14" s="10"/>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B15" s="1" t="s">
        <v>11</v>
      </c>
      <c r="C15" s="6" t="s">
        <v>42</v>
      </c>
      <c r="D15" s="6" t="s">
        <v>43</v>
      </c>
      <c r="F15" s="6" t="s">
        <v>44</v>
      </c>
      <c r="G15" s="6">
        <v>5.59</v>
      </c>
    </row>
    <row r="16">
      <c r="B16" s="8" t="s">
        <v>35</v>
      </c>
      <c r="C16" s="6" t="s">
        <v>45</v>
      </c>
      <c r="D16" s="6" t="s">
        <v>46</v>
      </c>
      <c r="F16" s="6" t="s">
        <v>44</v>
      </c>
      <c r="G16" s="6">
        <v>4.98</v>
      </c>
    </row>
    <row r="17">
      <c r="A17" s="6"/>
      <c r="B17" s="1"/>
      <c r="C17" s="6" t="s">
        <v>47</v>
      </c>
      <c r="D17" s="6" t="s">
        <v>46</v>
      </c>
      <c r="F17" s="6"/>
      <c r="G17" s="6">
        <v>5.84</v>
      </c>
    </row>
    <row r="18">
      <c r="A18" s="6"/>
      <c r="B18" s="1"/>
      <c r="C18" s="6" t="s">
        <v>48</v>
      </c>
      <c r="D18" s="6" t="s">
        <v>49</v>
      </c>
      <c r="F18" s="6"/>
      <c r="G18" s="6">
        <v>6.99</v>
      </c>
    </row>
    <row r="19">
      <c r="A19" s="6"/>
      <c r="B19" s="1"/>
      <c r="C19" s="6" t="s">
        <v>50</v>
      </c>
      <c r="D19" s="6" t="s">
        <v>49</v>
      </c>
      <c r="F19" s="6"/>
      <c r="G19" s="6">
        <v>5.84</v>
      </c>
    </row>
    <row r="20">
      <c r="A20" s="6"/>
      <c r="B20" s="8" t="s">
        <v>21</v>
      </c>
      <c r="C20" s="6" t="s">
        <v>51</v>
      </c>
      <c r="D20" s="6" t="s">
        <v>52</v>
      </c>
      <c r="F20" s="6" t="s">
        <v>44</v>
      </c>
      <c r="G20" s="6">
        <v>3.87</v>
      </c>
    </row>
    <row r="21">
      <c r="B21" s="8" t="s">
        <v>53</v>
      </c>
      <c r="C21" s="6" t="s">
        <v>54</v>
      </c>
      <c r="D21" s="6" t="s">
        <v>55</v>
      </c>
      <c r="F21" s="6" t="s">
        <v>44</v>
      </c>
      <c r="G21" s="14">
        <v>3.29</v>
      </c>
    </row>
    <row r="22">
      <c r="A22" s="6"/>
      <c r="B22" s="6"/>
      <c r="D22" s="6" t="s">
        <v>56</v>
      </c>
      <c r="G22" s="14">
        <v>3.8099999999999996</v>
      </c>
    </row>
    <row r="23">
      <c r="A23" s="15"/>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6"/>
    </row>
    <row r="25">
      <c r="A25"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38"/>
    <col customWidth="1" min="2" max="2" width="89.0"/>
    <col customWidth="1" min="3" max="3" width="79.88"/>
    <col hidden="1" min="5" max="5" width="12.63"/>
    <col customWidth="1" hidden="1" min="6" max="6" width="17.75"/>
  </cols>
  <sheetData>
    <row r="1">
      <c r="B1" s="6" t="s">
        <v>2</v>
      </c>
      <c r="D1" s="6" t="s">
        <v>57</v>
      </c>
      <c r="E1" s="6" t="s">
        <v>58</v>
      </c>
      <c r="F1" s="6" t="s">
        <v>59</v>
      </c>
      <c r="G1" s="6" t="s">
        <v>5</v>
      </c>
      <c r="H1" s="6" t="s">
        <v>6</v>
      </c>
      <c r="I1" s="6" t="s">
        <v>7</v>
      </c>
      <c r="J1" s="6" t="s">
        <v>8</v>
      </c>
      <c r="K1" s="6" t="s">
        <v>9</v>
      </c>
      <c r="L1" s="6" t="s">
        <v>60</v>
      </c>
      <c r="M1" s="6" t="s">
        <v>61</v>
      </c>
    </row>
    <row r="2">
      <c r="A2" s="16"/>
      <c r="B2" s="6"/>
      <c r="D2" s="6"/>
      <c r="E2" s="6"/>
      <c r="F2" s="6"/>
      <c r="G2" s="6"/>
      <c r="H2" s="6"/>
      <c r="I2" s="6"/>
      <c r="J2" s="6"/>
      <c r="K2" s="6"/>
      <c r="L2" s="6"/>
      <c r="M2" s="6"/>
    </row>
    <row r="3">
      <c r="A3" s="17" t="s">
        <v>10</v>
      </c>
      <c r="B3" s="15"/>
      <c r="C3" s="11"/>
      <c r="D3" s="15"/>
      <c r="E3" s="15"/>
      <c r="F3" s="15"/>
      <c r="G3" s="15"/>
      <c r="H3" s="18" t="s">
        <v>62</v>
      </c>
      <c r="I3" s="19"/>
      <c r="J3" s="19"/>
      <c r="K3" s="19"/>
      <c r="L3" s="19"/>
      <c r="M3" s="20"/>
      <c r="N3" s="21"/>
    </row>
    <row r="4">
      <c r="A4" s="22" t="s">
        <v>11</v>
      </c>
      <c r="B4" s="6" t="s">
        <v>12</v>
      </c>
      <c r="D4" s="6"/>
      <c r="E4" s="6"/>
      <c r="F4" s="6"/>
      <c r="M4" s="23"/>
      <c r="N4" s="24"/>
    </row>
    <row r="5">
      <c r="A5" s="25"/>
      <c r="C5" s="6" t="s">
        <v>63</v>
      </c>
      <c r="D5" s="6" t="s">
        <v>64</v>
      </c>
      <c r="E5" s="6">
        <v>1.0</v>
      </c>
      <c r="F5" s="6">
        <v>4.0</v>
      </c>
      <c r="G5" s="6" t="s">
        <v>15</v>
      </c>
      <c r="H5" s="6"/>
      <c r="I5" s="6">
        <v>2.48</v>
      </c>
      <c r="J5" s="6">
        <v>2.2</v>
      </c>
      <c r="K5" s="6">
        <v>2.06</v>
      </c>
      <c r="L5" s="6">
        <v>1.99</v>
      </c>
      <c r="M5" s="26">
        <v>1.97</v>
      </c>
      <c r="N5" s="24"/>
    </row>
    <row r="6">
      <c r="A6" s="25"/>
      <c r="C6" s="6" t="s">
        <v>65</v>
      </c>
      <c r="D6" s="6" t="s">
        <v>66</v>
      </c>
      <c r="G6" s="6" t="s">
        <v>15</v>
      </c>
      <c r="H6" s="6"/>
      <c r="I6" s="6">
        <v>2.62</v>
      </c>
      <c r="J6" s="6">
        <v>2.61</v>
      </c>
      <c r="K6" s="6">
        <v>2.59</v>
      </c>
      <c r="L6" s="6">
        <v>2.5</v>
      </c>
      <c r="M6" s="26">
        <v>2.45</v>
      </c>
      <c r="N6" s="24"/>
    </row>
    <row r="7">
      <c r="A7" s="25"/>
      <c r="C7" s="6" t="s">
        <v>67</v>
      </c>
      <c r="D7" s="27" t="s">
        <v>24</v>
      </c>
      <c r="E7" s="27"/>
      <c r="F7" s="27"/>
      <c r="G7" s="6" t="s">
        <v>15</v>
      </c>
      <c r="H7" s="6"/>
      <c r="I7" s="6">
        <v>3.23</v>
      </c>
      <c r="J7" s="6">
        <v>3.22</v>
      </c>
      <c r="K7" s="6">
        <v>3.2</v>
      </c>
      <c r="L7" s="6">
        <v>3.09</v>
      </c>
      <c r="M7" s="26">
        <v>3.03</v>
      </c>
      <c r="N7" s="24"/>
    </row>
    <row r="8">
      <c r="A8" s="25"/>
      <c r="C8" s="6" t="s">
        <v>68</v>
      </c>
      <c r="D8" s="6" t="s">
        <v>69</v>
      </c>
      <c r="G8" s="6" t="s">
        <v>15</v>
      </c>
      <c r="H8" s="6"/>
      <c r="I8" s="6">
        <v>3.74</v>
      </c>
      <c r="J8" s="6">
        <v>3.73</v>
      </c>
      <c r="K8" s="6">
        <v>3.71</v>
      </c>
      <c r="L8" s="6">
        <v>3.57</v>
      </c>
      <c r="M8" s="26">
        <v>3.5</v>
      </c>
      <c r="N8" s="24"/>
    </row>
    <row r="9">
      <c r="A9" s="25"/>
      <c r="C9" s="28" t="s">
        <v>70</v>
      </c>
      <c r="D9" s="6" t="s">
        <v>14</v>
      </c>
      <c r="G9" s="6" t="s">
        <v>15</v>
      </c>
      <c r="I9" s="3">
        <v>4.86</v>
      </c>
      <c r="J9" s="6">
        <v>5.94</v>
      </c>
      <c r="K9" s="6">
        <v>5.94</v>
      </c>
      <c r="M9" s="26"/>
      <c r="N9" s="24"/>
    </row>
    <row r="10">
      <c r="A10" s="25"/>
      <c r="M10" s="23"/>
      <c r="N10" s="24"/>
    </row>
    <row r="11">
      <c r="A11" s="22" t="s">
        <v>35</v>
      </c>
      <c r="B11" s="6" t="s">
        <v>17</v>
      </c>
      <c r="C11" s="6" t="s">
        <v>71</v>
      </c>
      <c r="D11" s="6" t="s">
        <v>64</v>
      </c>
      <c r="E11" s="6">
        <v>1.0</v>
      </c>
      <c r="F11" s="6"/>
      <c r="G11" s="6" t="s">
        <v>18</v>
      </c>
      <c r="H11" s="6"/>
      <c r="I11" s="6">
        <v>2.48</v>
      </c>
      <c r="J11" s="6">
        <v>2.2</v>
      </c>
      <c r="K11" s="6">
        <v>2.09</v>
      </c>
      <c r="L11" s="6">
        <v>2.01</v>
      </c>
      <c r="M11" s="26">
        <v>1.99</v>
      </c>
      <c r="N11" s="24"/>
    </row>
    <row r="12">
      <c r="A12" s="25"/>
      <c r="C12" s="6" t="s">
        <v>72</v>
      </c>
      <c r="D12" s="6" t="s">
        <v>66</v>
      </c>
      <c r="G12" s="6" t="s">
        <v>18</v>
      </c>
      <c r="H12" s="6"/>
      <c r="I12" s="6">
        <v>2.57</v>
      </c>
      <c r="J12" s="6">
        <v>2.56</v>
      </c>
      <c r="K12" s="6">
        <v>2.54</v>
      </c>
      <c r="L12" s="6">
        <v>2.44</v>
      </c>
      <c r="M12" s="26">
        <v>2.41</v>
      </c>
      <c r="N12" s="24"/>
    </row>
    <row r="13">
      <c r="A13" s="25"/>
      <c r="C13" s="6" t="s">
        <v>73</v>
      </c>
      <c r="D13" s="6" t="s">
        <v>24</v>
      </c>
      <c r="G13" s="6" t="s">
        <v>18</v>
      </c>
      <c r="H13" s="6"/>
      <c r="I13" s="6">
        <v>3.08</v>
      </c>
      <c r="J13" s="6">
        <v>3.07</v>
      </c>
      <c r="K13" s="6">
        <v>3.05</v>
      </c>
      <c r="L13" s="6">
        <v>2.93</v>
      </c>
      <c r="M13" s="26">
        <v>2.89</v>
      </c>
      <c r="N13" s="24"/>
    </row>
    <row r="14">
      <c r="A14" s="25"/>
      <c r="C14" s="6" t="s">
        <v>74</v>
      </c>
      <c r="D14" s="6" t="s">
        <v>69</v>
      </c>
      <c r="G14" s="6" t="s">
        <v>18</v>
      </c>
      <c r="H14" s="6"/>
      <c r="I14" s="6">
        <v>3.6</v>
      </c>
      <c r="J14" s="6">
        <v>3.59</v>
      </c>
      <c r="K14" s="6">
        <v>3.57</v>
      </c>
      <c r="L14" s="6">
        <v>3.43</v>
      </c>
      <c r="M14" s="26">
        <v>3.37</v>
      </c>
      <c r="N14" s="24"/>
    </row>
    <row r="15">
      <c r="A15" s="25"/>
      <c r="C15" s="28" t="s">
        <v>70</v>
      </c>
      <c r="D15" s="6" t="s">
        <v>14</v>
      </c>
      <c r="G15" s="6" t="s">
        <v>18</v>
      </c>
      <c r="I15" s="3">
        <v>4.9</v>
      </c>
      <c r="J15" s="6">
        <v>4.89</v>
      </c>
      <c r="K15" s="6">
        <v>4.87</v>
      </c>
      <c r="L15" s="6">
        <v>4.67</v>
      </c>
      <c r="M15" s="26">
        <v>4.59</v>
      </c>
      <c r="N15" s="24"/>
    </row>
    <row r="16">
      <c r="A16" s="22"/>
      <c r="B16" s="5"/>
      <c r="C16" s="6"/>
      <c r="D16" s="6"/>
      <c r="E16" s="6"/>
      <c r="F16" s="6"/>
      <c r="G16" s="6"/>
      <c r="H16" s="6"/>
      <c r="I16" s="6"/>
      <c r="J16" s="6">
        <v>6.38</v>
      </c>
      <c r="L16" s="6"/>
      <c r="M16" s="23"/>
      <c r="N16" s="24"/>
    </row>
    <row r="17">
      <c r="A17" s="22" t="s">
        <v>19</v>
      </c>
      <c r="B17" s="5" t="s">
        <v>20</v>
      </c>
      <c r="C17" s="6" t="s">
        <v>75</v>
      </c>
      <c r="D17" s="6" t="s">
        <v>14</v>
      </c>
      <c r="E17" s="6"/>
      <c r="F17" s="6"/>
      <c r="G17" s="6"/>
      <c r="H17" s="6"/>
      <c r="I17" s="6"/>
      <c r="J17" s="6">
        <v>7.42</v>
      </c>
      <c r="K17" s="6">
        <v>7.42</v>
      </c>
      <c r="L17" s="6"/>
      <c r="M17" s="23"/>
      <c r="N17" s="24"/>
    </row>
    <row r="18">
      <c r="A18" s="22"/>
      <c r="B18" s="5"/>
      <c r="C18" s="6"/>
      <c r="D18" s="6"/>
      <c r="E18" s="6"/>
      <c r="F18" s="6"/>
      <c r="G18" s="6"/>
      <c r="H18" s="6"/>
      <c r="I18" s="6"/>
      <c r="J18" s="6"/>
      <c r="L18" s="6"/>
      <c r="M18" s="23"/>
      <c r="N18" s="24"/>
    </row>
    <row r="19">
      <c r="A19" s="22"/>
      <c r="B19" s="5"/>
      <c r="C19" s="6"/>
      <c r="D19" s="6"/>
      <c r="E19" s="6"/>
      <c r="F19" s="6"/>
      <c r="G19" s="6"/>
      <c r="H19" s="6"/>
      <c r="I19" s="6"/>
      <c r="J19" s="6"/>
      <c r="L19" s="6"/>
      <c r="M19" s="23"/>
      <c r="N19" s="24"/>
    </row>
    <row r="20">
      <c r="A20" s="22"/>
      <c r="B20" s="5"/>
      <c r="C20" s="6"/>
      <c r="D20" s="6"/>
      <c r="E20" s="6"/>
      <c r="F20" s="6"/>
      <c r="G20" s="6"/>
      <c r="H20" s="6"/>
      <c r="I20" s="6"/>
      <c r="J20" s="6"/>
      <c r="L20" s="6"/>
      <c r="M20" s="23"/>
      <c r="N20" s="24"/>
    </row>
    <row r="21">
      <c r="A21" s="22"/>
      <c r="B21" s="5"/>
      <c r="C21" s="6"/>
      <c r="D21" s="6"/>
      <c r="E21" s="6"/>
      <c r="F21" s="6"/>
      <c r="G21" s="6"/>
      <c r="H21" s="6"/>
      <c r="I21" s="6"/>
      <c r="J21" s="6"/>
      <c r="L21" s="29" t="s">
        <v>76</v>
      </c>
      <c r="M21" s="23"/>
      <c r="N21" s="24"/>
    </row>
    <row r="22">
      <c r="A22" s="22" t="s">
        <v>21</v>
      </c>
      <c r="B22" s="5" t="s">
        <v>22</v>
      </c>
      <c r="C22" s="6" t="s">
        <v>77</v>
      </c>
      <c r="D22" s="6" t="s">
        <v>66</v>
      </c>
      <c r="E22" s="6">
        <v>1.0</v>
      </c>
      <c r="F22" s="6">
        <v>4.0</v>
      </c>
      <c r="G22" s="6" t="s">
        <v>18</v>
      </c>
      <c r="H22" s="6">
        <v>2.1</v>
      </c>
      <c r="I22" s="6">
        <v>1.8</v>
      </c>
      <c r="J22" s="6">
        <v>1.7</v>
      </c>
      <c r="L22" s="30">
        <v>1.64</v>
      </c>
      <c r="M22" s="23"/>
      <c r="N22" s="24"/>
    </row>
    <row r="23">
      <c r="A23" s="25"/>
      <c r="C23" s="28" t="s">
        <v>78</v>
      </c>
      <c r="D23" s="6" t="s">
        <v>24</v>
      </c>
      <c r="G23" s="6" t="s">
        <v>18</v>
      </c>
      <c r="H23" s="3">
        <v>3.1</v>
      </c>
      <c r="I23" s="6">
        <v>2.6</v>
      </c>
      <c r="J23" s="6">
        <v>2.4</v>
      </c>
      <c r="K23" s="6">
        <v>8.37</v>
      </c>
      <c r="L23" s="30"/>
      <c r="M23" s="23"/>
      <c r="N23" s="24"/>
    </row>
    <row r="24">
      <c r="A24" s="25"/>
      <c r="C24" s="6" t="s">
        <v>79</v>
      </c>
      <c r="D24" s="6" t="s">
        <v>24</v>
      </c>
      <c r="G24" s="6" t="s">
        <v>18</v>
      </c>
      <c r="H24" s="6">
        <v>4.07</v>
      </c>
      <c r="I24" s="6">
        <v>3.38</v>
      </c>
      <c r="J24" s="6">
        <v>3.1</v>
      </c>
      <c r="L24" s="30">
        <v>3.01</v>
      </c>
      <c r="M24" s="23"/>
      <c r="N24" s="24"/>
    </row>
    <row r="25">
      <c r="A25" s="25"/>
      <c r="C25" s="6" t="s">
        <v>80</v>
      </c>
      <c r="D25" s="6" t="s">
        <v>34</v>
      </c>
      <c r="G25" s="6" t="s">
        <v>18</v>
      </c>
      <c r="H25" s="6">
        <v>5.21</v>
      </c>
      <c r="I25" s="6">
        <v>4.3</v>
      </c>
      <c r="J25" s="6">
        <v>4.0</v>
      </c>
      <c r="L25" s="30">
        <v>3.8</v>
      </c>
      <c r="M25" s="23"/>
      <c r="N25" s="24"/>
    </row>
    <row r="26">
      <c r="A26" s="25"/>
      <c r="C26" s="6" t="s">
        <v>81</v>
      </c>
      <c r="D26" s="6" t="s">
        <v>34</v>
      </c>
      <c r="G26" s="6" t="s">
        <v>18</v>
      </c>
      <c r="H26" s="6">
        <v>6.8</v>
      </c>
      <c r="I26" s="6">
        <v>5.65</v>
      </c>
      <c r="J26" s="6">
        <v>5.59</v>
      </c>
      <c r="L26" s="31">
        <v>5.3</v>
      </c>
      <c r="M26" s="23"/>
      <c r="N26" s="24"/>
    </row>
    <row r="27">
      <c r="A27" s="25"/>
      <c r="M27" s="23"/>
      <c r="N27" s="24"/>
    </row>
    <row r="28" ht="15.75" customHeight="1">
      <c r="A28" s="22" t="s">
        <v>26</v>
      </c>
      <c r="B28" s="32" t="s">
        <v>27</v>
      </c>
      <c r="C28" s="6" t="s">
        <v>82</v>
      </c>
      <c r="D28" s="6" t="s">
        <v>83</v>
      </c>
      <c r="E28" s="6">
        <v>1.0</v>
      </c>
      <c r="F28" s="6">
        <v>4.0</v>
      </c>
      <c r="G28" s="6" t="s">
        <v>84</v>
      </c>
      <c r="J28" s="6">
        <v>2.0</v>
      </c>
      <c r="K28" s="6">
        <v>1.7</v>
      </c>
      <c r="L28" s="6">
        <v>1.55</v>
      </c>
      <c r="M28" s="23"/>
      <c r="N28" s="24"/>
    </row>
    <row r="29" ht="16.5" customHeight="1">
      <c r="A29" s="25"/>
      <c r="B29" s="6" t="s">
        <v>85</v>
      </c>
      <c r="C29" s="6" t="s">
        <v>86</v>
      </c>
      <c r="D29" s="6" t="s">
        <v>83</v>
      </c>
      <c r="E29" s="6"/>
      <c r="F29" s="6"/>
      <c r="G29" s="6" t="s">
        <v>84</v>
      </c>
      <c r="H29" s="6">
        <v>2.7</v>
      </c>
      <c r="I29" s="6">
        <v>2.3</v>
      </c>
      <c r="M29" s="23"/>
      <c r="N29" s="24"/>
    </row>
    <row r="30" ht="15.75" customHeight="1">
      <c r="A30" s="25"/>
      <c r="B30" s="6" t="s">
        <v>87</v>
      </c>
      <c r="C30" s="6" t="s">
        <v>88</v>
      </c>
      <c r="D30" s="6" t="s">
        <v>83</v>
      </c>
      <c r="E30" s="6"/>
      <c r="F30" s="6"/>
      <c r="G30" s="6" t="s">
        <v>84</v>
      </c>
      <c r="H30" s="6">
        <v>3.15</v>
      </c>
      <c r="I30" s="6">
        <v>2.65</v>
      </c>
      <c r="J30" s="6">
        <v>2.25</v>
      </c>
      <c r="K30" s="6">
        <v>1.9</v>
      </c>
      <c r="L30" s="6">
        <v>1.68</v>
      </c>
      <c r="M30" s="23"/>
      <c r="N30" s="24"/>
    </row>
    <row r="31">
      <c r="A31" s="25"/>
      <c r="B31" s="6" t="s">
        <v>89</v>
      </c>
      <c r="C31" s="33" t="s">
        <v>90</v>
      </c>
      <c r="D31" s="6" t="s">
        <v>29</v>
      </c>
      <c r="G31" s="6" t="s">
        <v>30</v>
      </c>
      <c r="H31" s="3">
        <v>4.0</v>
      </c>
      <c r="I31" s="6">
        <v>3.7</v>
      </c>
      <c r="J31" s="6">
        <v>3.5</v>
      </c>
      <c r="K31" s="6">
        <v>3.3</v>
      </c>
      <c r="L31" s="14">
        <f>1.3+0.16+0.05</f>
        <v>1.51</v>
      </c>
      <c r="M31" s="23"/>
      <c r="N31" s="24"/>
    </row>
    <row r="32">
      <c r="A32" s="34"/>
      <c r="B32" s="35"/>
      <c r="C32" s="36" t="s">
        <v>91</v>
      </c>
      <c r="D32" s="37" t="s">
        <v>29</v>
      </c>
      <c r="E32" s="35"/>
      <c r="F32" s="35"/>
      <c r="G32" s="37" t="s">
        <v>84</v>
      </c>
      <c r="H32" s="37">
        <v>2.75</v>
      </c>
      <c r="I32" s="37">
        <v>2.23</v>
      </c>
      <c r="J32" s="37">
        <v>1.97</v>
      </c>
      <c r="K32" s="37">
        <v>1.65</v>
      </c>
      <c r="L32" s="37">
        <v>1.48</v>
      </c>
      <c r="M32" s="38"/>
      <c r="N32" s="39"/>
    </row>
    <row r="33">
      <c r="A33" s="40"/>
      <c r="B33" s="11"/>
      <c r="C33" s="11"/>
      <c r="D33" s="11"/>
      <c r="E33" s="11"/>
      <c r="F33" s="11"/>
      <c r="G33" s="11"/>
      <c r="H33" s="11"/>
      <c r="I33" s="11"/>
      <c r="J33" s="11"/>
      <c r="K33" s="11"/>
      <c r="L33" s="11"/>
      <c r="M33" s="41"/>
      <c r="N33" s="21"/>
      <c r="O33" s="42"/>
      <c r="P33" s="42"/>
      <c r="Q33" s="42"/>
      <c r="R33" s="42"/>
      <c r="S33" s="42"/>
      <c r="T33" s="42"/>
      <c r="U33" s="42"/>
      <c r="V33" s="42"/>
      <c r="W33" s="42"/>
      <c r="X33" s="42"/>
      <c r="Y33" s="42"/>
      <c r="Z33" s="42"/>
      <c r="AA33" s="42"/>
      <c r="AB33" s="42"/>
      <c r="AC33" s="42"/>
      <c r="AD33" s="42"/>
    </row>
    <row r="34">
      <c r="A34" s="43" t="s">
        <v>31</v>
      </c>
      <c r="B34" s="6"/>
      <c r="D34" s="6"/>
      <c r="H34" s="44" t="s">
        <v>92</v>
      </c>
      <c r="M34" s="45"/>
      <c r="N34" s="24"/>
    </row>
    <row r="35">
      <c r="A35" s="22"/>
      <c r="B35" s="6"/>
      <c r="D35" s="6"/>
      <c r="H35" s="6" t="s">
        <v>6</v>
      </c>
      <c r="I35" s="6" t="s">
        <v>7</v>
      </c>
      <c r="J35" s="6" t="s">
        <v>8</v>
      </c>
      <c r="K35" s="6" t="s">
        <v>9</v>
      </c>
      <c r="L35" s="6" t="s">
        <v>60</v>
      </c>
      <c r="M35" s="23"/>
      <c r="N35" s="24"/>
    </row>
    <row r="36">
      <c r="A36" s="22"/>
      <c r="B36" s="6"/>
      <c r="C36" s="6"/>
      <c r="D36" s="6"/>
      <c r="M36" s="23"/>
      <c r="N36" s="24"/>
    </row>
    <row r="37">
      <c r="A37" s="22"/>
      <c r="B37" s="6"/>
      <c r="C37" s="6"/>
      <c r="D37" s="6"/>
      <c r="J37" s="6"/>
      <c r="K37" s="6"/>
      <c r="M37" s="23"/>
      <c r="N37" s="24"/>
    </row>
    <row r="38">
      <c r="A38" s="22" t="s">
        <v>11</v>
      </c>
      <c r="D38" s="6"/>
      <c r="M38" s="23"/>
      <c r="N38" s="24"/>
    </row>
    <row r="39">
      <c r="A39" s="25"/>
      <c r="B39" s="6" t="s">
        <v>32</v>
      </c>
      <c r="C39" s="28" t="s">
        <v>93</v>
      </c>
      <c r="D39" s="6" t="s">
        <v>94</v>
      </c>
      <c r="H39" s="3">
        <v>3.65</v>
      </c>
      <c r="I39" s="6">
        <v>3.65</v>
      </c>
      <c r="J39" s="6">
        <v>3.55</v>
      </c>
      <c r="K39" s="6">
        <v>3.4</v>
      </c>
      <c r="M39" s="23"/>
      <c r="N39" s="24"/>
    </row>
    <row r="40">
      <c r="A40" s="22"/>
      <c r="B40" s="6"/>
      <c r="C40" s="6"/>
      <c r="D40" s="6"/>
      <c r="M40" s="23"/>
      <c r="N40" s="24"/>
    </row>
    <row r="41">
      <c r="A41" s="22" t="s">
        <v>35</v>
      </c>
      <c r="D41" s="6"/>
      <c r="M41" s="23"/>
      <c r="N41" s="24"/>
    </row>
    <row r="42">
      <c r="A42" s="25"/>
      <c r="B42" s="6" t="s">
        <v>36</v>
      </c>
      <c r="C42" s="28" t="s">
        <v>95</v>
      </c>
      <c r="D42" s="6" t="s">
        <v>94</v>
      </c>
      <c r="H42" s="3">
        <v>4.8</v>
      </c>
      <c r="I42" s="6">
        <v>4.7</v>
      </c>
      <c r="J42" s="6">
        <v>4.45</v>
      </c>
      <c r="K42" s="6">
        <v>3.65</v>
      </c>
      <c r="M42" s="23"/>
      <c r="N42" s="24"/>
    </row>
    <row r="43">
      <c r="A43" s="22"/>
      <c r="M43" s="23"/>
      <c r="N43" s="24"/>
    </row>
    <row r="44">
      <c r="A44" s="22"/>
      <c r="B44" s="6" t="s">
        <v>96</v>
      </c>
      <c r="C44" s="6" t="s">
        <v>97</v>
      </c>
      <c r="D44" s="6" t="s">
        <v>94</v>
      </c>
      <c r="K44" s="6">
        <v>4.1</v>
      </c>
      <c r="M44" s="23"/>
      <c r="N44" s="24"/>
    </row>
    <row r="45">
      <c r="A45" s="22"/>
      <c r="B45" s="6" t="s">
        <v>37</v>
      </c>
      <c r="C45" s="6" t="s">
        <v>98</v>
      </c>
      <c r="D45" s="6" t="s">
        <v>94</v>
      </c>
      <c r="K45" s="6">
        <v>5.0</v>
      </c>
      <c r="M45" s="23"/>
      <c r="N45" s="24"/>
    </row>
    <row r="46">
      <c r="A46" s="22"/>
      <c r="M46" s="23"/>
      <c r="N46" s="24"/>
    </row>
    <row r="47">
      <c r="A47" s="22" t="s">
        <v>26</v>
      </c>
      <c r="D47" s="6"/>
      <c r="M47" s="23"/>
      <c r="N47" s="46" t="s">
        <v>99</v>
      </c>
    </row>
    <row r="48">
      <c r="A48" s="25"/>
      <c r="D48" s="6"/>
      <c r="M48" s="23"/>
      <c r="N48" s="24"/>
    </row>
    <row r="49">
      <c r="A49" s="25"/>
      <c r="B49" s="6" t="s">
        <v>38</v>
      </c>
      <c r="C49" s="6" t="s">
        <v>39</v>
      </c>
      <c r="D49" s="6" t="s">
        <v>40</v>
      </c>
      <c r="J49" s="6">
        <v>3.15</v>
      </c>
      <c r="K49" s="6">
        <v>3.08</v>
      </c>
      <c r="L49" s="6">
        <v>2.9</v>
      </c>
      <c r="M49" s="23"/>
      <c r="N49" s="24"/>
    </row>
    <row r="50">
      <c r="A50" s="25"/>
      <c r="D50" s="6"/>
      <c r="M50" s="23"/>
      <c r="N50" s="24"/>
    </row>
    <row r="51">
      <c r="A51" s="34"/>
      <c r="B51" s="35"/>
      <c r="C51" s="35"/>
      <c r="D51" s="35"/>
      <c r="E51" s="35"/>
      <c r="F51" s="35"/>
      <c r="G51" s="35"/>
      <c r="H51" s="35"/>
      <c r="I51" s="35"/>
      <c r="J51" s="35"/>
      <c r="K51" s="35"/>
      <c r="L51" s="35"/>
      <c r="M51" s="38"/>
      <c r="N51" s="24"/>
    </row>
    <row r="52">
      <c r="A52" s="47" t="s">
        <v>100</v>
      </c>
      <c r="B52" s="11"/>
      <c r="C52" s="11"/>
      <c r="D52" s="11"/>
      <c r="E52" s="11"/>
      <c r="F52" s="11"/>
      <c r="G52" s="11"/>
      <c r="H52" s="18" t="s">
        <v>101</v>
      </c>
      <c r="I52" s="19"/>
      <c r="J52" s="19"/>
      <c r="K52" s="19"/>
      <c r="L52" s="19"/>
      <c r="M52" s="20"/>
    </row>
    <row r="53">
      <c r="A53" s="25"/>
      <c r="G53" s="6" t="s">
        <v>5</v>
      </c>
      <c r="H53" s="6" t="s">
        <v>6</v>
      </c>
      <c r="I53" s="6" t="s">
        <v>102</v>
      </c>
      <c r="J53" s="6" t="s">
        <v>8</v>
      </c>
      <c r="K53" s="6" t="s">
        <v>9</v>
      </c>
      <c r="M53" s="23"/>
    </row>
    <row r="54">
      <c r="A54" s="25"/>
      <c r="M54" s="23"/>
    </row>
    <row r="55">
      <c r="A55" s="22" t="s">
        <v>11</v>
      </c>
      <c r="B55" s="6" t="s">
        <v>103</v>
      </c>
      <c r="D55" s="6"/>
      <c r="E55" s="6"/>
      <c r="F55" s="6"/>
      <c r="M55" s="23"/>
    </row>
    <row r="56">
      <c r="A56" s="48" t="s">
        <v>104</v>
      </c>
      <c r="B56" s="49" t="s">
        <v>105</v>
      </c>
      <c r="C56" s="28" t="s">
        <v>43</v>
      </c>
      <c r="D56" s="6"/>
      <c r="G56" s="6"/>
      <c r="H56" s="50">
        <v>5.59</v>
      </c>
      <c r="I56" s="14">
        <v>5.47</v>
      </c>
      <c r="J56" s="14">
        <v>5.16</v>
      </c>
      <c r="K56" s="14">
        <v>5.05</v>
      </c>
      <c r="M56" s="23"/>
    </row>
    <row r="57">
      <c r="A57" s="25"/>
      <c r="B57" s="49" t="s">
        <v>106</v>
      </c>
      <c r="D57" s="6" t="s">
        <v>107</v>
      </c>
      <c r="G57" s="6"/>
      <c r="I57" s="6"/>
      <c r="M57" s="23"/>
    </row>
    <row r="58">
      <c r="A58" s="25"/>
      <c r="D58" s="6" t="s">
        <v>108</v>
      </c>
      <c r="M58" s="23"/>
    </row>
    <row r="59">
      <c r="A59" s="25"/>
      <c r="M59" s="23"/>
    </row>
    <row r="60">
      <c r="A60" s="25"/>
      <c r="M60" s="23"/>
    </row>
    <row r="61">
      <c r="A61" s="25"/>
      <c r="M61" s="23"/>
    </row>
    <row r="62">
      <c r="A62" s="22" t="s">
        <v>35</v>
      </c>
      <c r="B62" s="6" t="s">
        <v>109</v>
      </c>
      <c r="C62" s="6" t="s">
        <v>110</v>
      </c>
      <c r="D62" s="6"/>
      <c r="E62" s="6">
        <v>1.0</v>
      </c>
      <c r="F62" s="6"/>
      <c r="G62" s="6" t="s">
        <v>111</v>
      </c>
      <c r="H62" s="14">
        <v>4.12</v>
      </c>
      <c r="I62" s="14">
        <v>4.07</v>
      </c>
      <c r="J62" s="14">
        <v>3.9699999999999998</v>
      </c>
      <c r="K62" s="14">
        <v>3.9299999999999997</v>
      </c>
      <c r="M62" s="23"/>
    </row>
    <row r="63">
      <c r="A63" s="25"/>
      <c r="C63" s="28" t="s">
        <v>46</v>
      </c>
      <c r="D63" s="6"/>
      <c r="G63" s="6" t="s">
        <v>112</v>
      </c>
      <c r="H63" s="50">
        <v>4.98</v>
      </c>
      <c r="I63" s="14">
        <v>4.92</v>
      </c>
      <c r="J63" s="14">
        <v>4.79</v>
      </c>
      <c r="K63" s="14">
        <v>4.74</v>
      </c>
      <c r="M63" s="23"/>
    </row>
    <row r="64">
      <c r="A64" s="25"/>
      <c r="B64" s="6" t="s">
        <v>113</v>
      </c>
      <c r="C64" s="6" t="s">
        <v>114</v>
      </c>
      <c r="D64" s="6"/>
      <c r="G64" s="6" t="s">
        <v>111</v>
      </c>
      <c r="H64" s="14">
        <v>4.71</v>
      </c>
      <c r="I64" s="14">
        <v>4.65</v>
      </c>
      <c r="J64" s="14">
        <v>4.58</v>
      </c>
      <c r="K64" s="14">
        <v>4.53</v>
      </c>
      <c r="M64" s="23"/>
    </row>
    <row r="65">
      <c r="A65" s="25"/>
      <c r="C65" s="28" t="s">
        <v>115</v>
      </c>
      <c r="D65" s="6"/>
      <c r="G65" s="6" t="s">
        <v>112</v>
      </c>
      <c r="H65" s="50">
        <v>5.84</v>
      </c>
      <c r="I65" s="14">
        <v>5.77</v>
      </c>
      <c r="J65" s="14">
        <v>5.71</v>
      </c>
      <c r="K65" s="14">
        <v>5.65</v>
      </c>
      <c r="M65" s="23"/>
    </row>
    <row r="66">
      <c r="A66" s="22"/>
      <c r="B66" s="49"/>
      <c r="M66" s="23"/>
    </row>
    <row r="67">
      <c r="A67" s="22" t="s">
        <v>116</v>
      </c>
      <c r="B67" s="49" t="s">
        <v>117</v>
      </c>
      <c r="M67" s="23"/>
    </row>
    <row r="68">
      <c r="A68" s="25"/>
      <c r="B68" s="49" t="s">
        <v>118</v>
      </c>
      <c r="C68" s="6" t="s">
        <v>119</v>
      </c>
      <c r="G68" s="6" t="s">
        <v>111</v>
      </c>
      <c r="H68" s="50">
        <v>6.99</v>
      </c>
      <c r="I68" s="14">
        <v>6.93</v>
      </c>
      <c r="J68" s="14">
        <v>6.81</v>
      </c>
      <c r="K68" s="14">
        <v>6.72</v>
      </c>
      <c r="M68" s="23"/>
    </row>
    <row r="69">
      <c r="A69" s="25"/>
      <c r="B69" s="49" t="s">
        <v>120</v>
      </c>
      <c r="G69" s="6" t="s">
        <v>112</v>
      </c>
      <c r="M69" s="23"/>
    </row>
    <row r="70">
      <c r="A70" s="25"/>
      <c r="M70" s="23"/>
    </row>
    <row r="71">
      <c r="A71" s="51" t="s">
        <v>121</v>
      </c>
      <c r="B71" s="49" t="s">
        <v>117</v>
      </c>
      <c r="C71" s="6" t="s">
        <v>122</v>
      </c>
      <c r="G71" s="6" t="s">
        <v>111</v>
      </c>
      <c r="H71" s="3">
        <v>5.84</v>
      </c>
      <c r="I71" s="6">
        <v>5.77</v>
      </c>
      <c r="J71" s="6">
        <v>5.71</v>
      </c>
      <c r="K71" s="6">
        <v>5.65</v>
      </c>
      <c r="M71" s="23"/>
    </row>
    <row r="72">
      <c r="A72" s="25"/>
      <c r="B72" s="49" t="s">
        <v>123</v>
      </c>
      <c r="G72" s="6" t="s">
        <v>112</v>
      </c>
      <c r="M72" s="23"/>
    </row>
    <row r="73">
      <c r="A73" s="25"/>
      <c r="B73" s="49" t="s">
        <v>120</v>
      </c>
      <c r="M73" s="23"/>
    </row>
    <row r="74">
      <c r="A74" s="25"/>
      <c r="D74" s="6" t="s">
        <v>107</v>
      </c>
      <c r="M74" s="23"/>
    </row>
    <row r="75">
      <c r="A75" s="25"/>
      <c r="D75" s="6" t="s">
        <v>108</v>
      </c>
      <c r="M75" s="23"/>
    </row>
    <row r="76">
      <c r="A76" s="25"/>
      <c r="M76" s="23"/>
    </row>
    <row r="77">
      <c r="A77" s="22"/>
      <c r="B77" s="5"/>
      <c r="C77" s="6"/>
      <c r="D77" s="6"/>
      <c r="E77" s="6"/>
      <c r="F77" s="6"/>
      <c r="H77" s="6"/>
      <c r="I77" s="6"/>
      <c r="J77" s="6"/>
      <c r="L77" s="6"/>
      <c r="M77" s="23"/>
    </row>
    <row r="78">
      <c r="A78" s="22"/>
      <c r="B78" s="5"/>
      <c r="C78" s="6"/>
      <c r="D78" s="6"/>
      <c r="E78" s="6"/>
      <c r="F78" s="6"/>
      <c r="G78" s="6"/>
      <c r="H78" s="6"/>
      <c r="I78" s="6"/>
      <c r="J78" s="6"/>
      <c r="L78" s="6"/>
      <c r="M78" s="23"/>
    </row>
    <row r="79">
      <c r="A79" s="22" t="s">
        <v>21</v>
      </c>
      <c r="B79" s="6" t="s">
        <v>124</v>
      </c>
      <c r="C79" s="28" t="s">
        <v>52</v>
      </c>
      <c r="D79" s="6"/>
      <c r="E79" s="6"/>
      <c r="F79" s="6"/>
      <c r="G79" s="6" t="s">
        <v>111</v>
      </c>
      <c r="H79" s="50">
        <v>3.87</v>
      </c>
      <c r="I79" s="14">
        <v>3.8199999999999994</v>
      </c>
      <c r="J79" s="14">
        <v>3.74</v>
      </c>
      <c r="K79" s="14">
        <v>3.67</v>
      </c>
      <c r="L79" s="6"/>
      <c r="M79" s="23"/>
    </row>
    <row r="80">
      <c r="A80" s="22" t="s">
        <v>125</v>
      </c>
      <c r="B80" s="49" t="s">
        <v>126</v>
      </c>
      <c r="D80" s="6"/>
      <c r="G80" s="6" t="s">
        <v>112</v>
      </c>
      <c r="L80" s="6"/>
      <c r="M80" s="23"/>
    </row>
    <row r="81">
      <c r="A81" s="25"/>
      <c r="B81" s="49" t="s">
        <v>127</v>
      </c>
      <c r="D81" s="6" t="s">
        <v>107</v>
      </c>
      <c r="L81" s="6"/>
      <c r="M81" s="23"/>
    </row>
    <row r="82">
      <c r="A82" s="25"/>
      <c r="B82" s="49" t="s">
        <v>128</v>
      </c>
      <c r="D82" s="6" t="s">
        <v>108</v>
      </c>
      <c r="G82" s="6"/>
      <c r="L82" s="6"/>
      <c r="M82" s="23"/>
    </row>
    <row r="83">
      <c r="A83" s="25"/>
      <c r="B83" s="49" t="s">
        <v>129</v>
      </c>
      <c r="D83" s="6"/>
      <c r="G83" s="6"/>
      <c r="L83" s="6"/>
      <c r="M83" s="23"/>
    </row>
    <row r="84">
      <c r="A84" s="25"/>
      <c r="B84" s="49" t="s">
        <v>130</v>
      </c>
      <c r="M84" s="23"/>
    </row>
    <row r="85">
      <c r="A85" s="25"/>
      <c r="B85" s="49" t="s">
        <v>131</v>
      </c>
      <c r="M85" s="23"/>
    </row>
    <row r="86">
      <c r="A86" s="25"/>
      <c r="M86" s="23"/>
    </row>
    <row r="87">
      <c r="A87" s="52" t="s">
        <v>53</v>
      </c>
      <c r="B87" s="53" t="s">
        <v>132</v>
      </c>
      <c r="M87" s="23"/>
    </row>
    <row r="88">
      <c r="A88" s="48" t="s">
        <v>133</v>
      </c>
      <c r="B88" s="49" t="s">
        <v>134</v>
      </c>
      <c r="C88" s="6" t="s">
        <v>55</v>
      </c>
      <c r="G88" s="6" t="s">
        <v>111</v>
      </c>
      <c r="H88" s="50">
        <v>3.29</v>
      </c>
      <c r="I88" s="14">
        <v>3.19</v>
      </c>
      <c r="J88" s="14">
        <v>3.08</v>
      </c>
      <c r="K88" s="14">
        <v>2.99</v>
      </c>
      <c r="M88" s="23"/>
    </row>
    <row r="89">
      <c r="A89" s="25"/>
      <c r="B89" s="49" t="s">
        <v>135</v>
      </c>
      <c r="C89" s="6" t="s">
        <v>56</v>
      </c>
      <c r="G89" s="6" t="s">
        <v>112</v>
      </c>
      <c r="H89" s="50">
        <v>3.8099999999999996</v>
      </c>
      <c r="I89" s="14">
        <v>3.68</v>
      </c>
      <c r="J89" s="14">
        <v>3.49</v>
      </c>
      <c r="K89" s="14">
        <v>3.31</v>
      </c>
      <c r="M89" s="23"/>
    </row>
    <row r="90">
      <c r="A90" s="25"/>
      <c r="B90" s="49" t="s">
        <v>136</v>
      </c>
      <c r="D90" s="6" t="s">
        <v>107</v>
      </c>
      <c r="M90" s="23"/>
    </row>
    <row r="91">
      <c r="A91" s="25"/>
      <c r="B91" s="54"/>
      <c r="D91" s="6" t="s">
        <v>108</v>
      </c>
      <c r="M91" s="23"/>
    </row>
    <row r="92">
      <c r="A92" s="34"/>
      <c r="B92" s="55" t="s">
        <v>137</v>
      </c>
      <c r="C92" s="35"/>
      <c r="D92" s="35"/>
      <c r="E92" s="35"/>
      <c r="F92" s="35"/>
      <c r="G92" s="35"/>
      <c r="H92" s="35"/>
      <c r="I92" s="35"/>
      <c r="J92" s="35"/>
      <c r="K92" s="35"/>
      <c r="L92" s="35"/>
      <c r="M92" s="38"/>
    </row>
  </sheetData>
  <mergeCells count="3">
    <mergeCell ref="H3:M3"/>
    <mergeCell ref="H34:M34"/>
    <mergeCell ref="H52:M52"/>
  </mergeCells>
  <hyperlinks>
    <hyperlink r:id="rId1" ref="A5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outlineLevelCol="1" outlineLevelRow="2"/>
  <cols>
    <col customWidth="1" min="1" max="1" width="36.88"/>
    <col customWidth="1" min="2" max="2" width="8.88"/>
    <col customWidth="1" min="3" max="3" width="20.5"/>
    <col customWidth="1" min="4" max="4" width="8.63"/>
    <col customWidth="1" min="5" max="5" width="7.13" outlineLevel="1"/>
    <col customWidth="1" min="6" max="6" width="6.13" outlineLevel="1"/>
    <col customWidth="1" min="7" max="7" width="6.38" outlineLevel="1"/>
    <col customWidth="1" min="8" max="10" width="6.13" outlineLevel="1"/>
    <col customWidth="1" min="11" max="11" width="5.25" outlineLevel="1"/>
    <col collapsed="1" customWidth="1" min="12" max="12" width="8.63"/>
    <col customWidth="1" hidden="1" min="13" max="13" width="8.63" outlineLevel="1"/>
    <col customWidth="1" hidden="1" min="14" max="14" width="9.13" outlineLevel="1"/>
    <col customWidth="1" hidden="1" min="15" max="15" width="8.25" outlineLevel="1"/>
    <col customWidth="1" hidden="1" min="16" max="16" width="8.0" outlineLevel="1"/>
    <col customWidth="1" hidden="1" min="17" max="17" width="8.38" outlineLevel="1"/>
    <col customWidth="1" hidden="1" min="18" max="18" width="7.5" outlineLevel="1"/>
    <col collapsed="1" customWidth="1" min="19" max="19" width="6.13"/>
    <col customWidth="1" hidden="1" min="20" max="20" width="6.13" outlineLevel="1"/>
    <col customWidth="1" hidden="1" min="21" max="21" width="6.88" outlineLevel="1"/>
    <col customWidth="1" hidden="1" min="22" max="22" width="6.5" outlineLevel="1"/>
    <col customWidth="1" min="23" max="23" width="11.5"/>
    <col customWidth="1" min="24" max="24" width="8.13" outlineLevel="1"/>
    <col min="25" max="25" width="12.63" outlineLevel="1"/>
    <col collapsed="1" customWidth="1" min="26" max="26" width="9.5"/>
    <col customWidth="1" hidden="1" min="27" max="27" width="5.88" outlineLevel="1"/>
    <col customWidth="1" hidden="1" min="28" max="28" width="9.0" outlineLevel="1"/>
    <col customWidth="1" hidden="1" min="29" max="29" width="5.13" outlineLevel="1"/>
    <col customWidth="1" hidden="1" min="30" max="30" width="8.25" outlineLevel="1"/>
    <col customWidth="1" hidden="1" min="31" max="31" width="5.25" outlineLevel="1"/>
    <col customWidth="1" hidden="1" min="32" max="32" width="7.75" outlineLevel="1"/>
    <col collapsed="1" customWidth="1" min="33" max="33" width="6.75"/>
    <col customWidth="1" hidden="1" min="34" max="34" width="6.75" outlineLevel="1"/>
    <col customWidth="1" hidden="1" min="35" max="35" width="6.63" outlineLevel="1"/>
    <col customWidth="1" min="36" max="36" width="6.63"/>
    <col customWidth="1" min="37" max="37" width="6.63" outlineLevel="1"/>
    <col customWidth="1" min="38" max="38" width="5.25" outlineLevel="1"/>
    <col customWidth="1" min="39" max="40" width="6.63"/>
    <col customWidth="1" min="41" max="44" width="6.63" outlineLevel="1"/>
    <col customWidth="1" min="45" max="45" width="4.13"/>
    <col collapsed="1" customWidth="1" min="46" max="46" width="6.63"/>
    <col customWidth="1" hidden="1" min="47" max="47" width="5.88" outlineLevel="1"/>
    <col customWidth="1" hidden="1" min="48" max="48" width="4.63" outlineLevel="1"/>
    <col customWidth="1" hidden="1" min="49" max="49" width="5.63" outlineLevel="1"/>
    <col customWidth="1" hidden="1" min="50" max="50" width="5.13" outlineLevel="1"/>
    <col collapsed="1" customWidth="1" min="51" max="51" width="6.63"/>
    <col customWidth="1" hidden="1" min="52" max="53" width="6.63" outlineLevel="1"/>
    <col collapsed="1" customWidth="1" min="54" max="54" width="6.63"/>
    <col customWidth="1" hidden="1" min="55" max="57" width="6.63" outlineLevel="1"/>
    <col customWidth="1" min="58" max="61" width="6.63"/>
  </cols>
  <sheetData>
    <row r="1">
      <c r="A1" s="56"/>
      <c r="B1" s="57"/>
      <c r="C1" s="58" t="s">
        <v>138</v>
      </c>
      <c r="P1" s="59"/>
      <c r="AB1" s="59"/>
      <c r="AD1" s="59"/>
      <c r="AI1" s="59"/>
      <c r="AJ1" s="60"/>
      <c r="AK1" s="59"/>
      <c r="AO1" s="59"/>
    </row>
    <row r="2">
      <c r="A2" s="57"/>
      <c r="B2" s="57"/>
      <c r="C2" s="58"/>
      <c r="D2" s="61"/>
      <c r="E2" s="61" t="s">
        <v>139</v>
      </c>
      <c r="AJ2" s="62"/>
      <c r="AK2" s="61"/>
      <c r="AL2" s="61"/>
      <c r="AM2" s="61"/>
      <c r="AN2" s="61"/>
      <c r="AO2" s="61"/>
      <c r="AP2" s="61"/>
      <c r="AQ2" s="61"/>
      <c r="AR2" s="61"/>
      <c r="AS2" s="61"/>
      <c r="AT2" s="61"/>
      <c r="AU2" s="61"/>
      <c r="AV2" s="61"/>
      <c r="AW2" s="61"/>
      <c r="AX2" s="61"/>
      <c r="AY2" s="61"/>
      <c r="AZ2" s="61"/>
      <c r="BA2" s="61"/>
      <c r="BB2" s="61"/>
      <c r="BC2" s="61"/>
      <c r="BD2" s="61"/>
      <c r="BE2" s="61"/>
      <c r="BF2" s="61"/>
      <c r="BG2" s="61"/>
      <c r="BH2" s="61"/>
      <c r="BI2" s="61"/>
    </row>
    <row r="3">
      <c r="A3" s="63"/>
      <c r="B3" s="63"/>
      <c r="C3" s="64"/>
      <c r="D3" s="65" t="s">
        <v>140</v>
      </c>
      <c r="E3" s="2"/>
      <c r="F3" s="65"/>
      <c r="G3" s="65"/>
      <c r="H3" s="65"/>
      <c r="I3" s="65"/>
      <c r="J3" s="65"/>
      <c r="K3" s="65"/>
      <c r="L3" s="66" t="s">
        <v>141</v>
      </c>
      <c r="M3" s="2"/>
      <c r="N3" s="66"/>
      <c r="O3" s="66"/>
      <c r="P3" s="66"/>
      <c r="Q3" s="66"/>
      <c r="R3" s="66"/>
      <c r="S3" s="67" t="s">
        <v>142</v>
      </c>
      <c r="T3" s="2"/>
      <c r="U3" s="67"/>
      <c r="V3" s="67"/>
      <c r="W3" s="67" t="s">
        <v>143</v>
      </c>
      <c r="X3" s="2"/>
      <c r="Y3" s="66"/>
      <c r="Z3" s="66" t="s">
        <v>144</v>
      </c>
      <c r="AA3" s="2"/>
      <c r="AB3" s="66"/>
      <c r="AC3" s="66"/>
      <c r="AD3" s="66"/>
      <c r="AE3" s="66"/>
      <c r="AF3" s="66"/>
      <c r="AG3" s="67" t="s">
        <v>145</v>
      </c>
      <c r="AH3" s="66"/>
      <c r="AI3" s="66"/>
      <c r="AJ3" s="68" t="s">
        <v>146</v>
      </c>
      <c r="AK3" s="66"/>
      <c r="AL3" s="66"/>
      <c r="AM3" s="69" t="s">
        <v>147</v>
      </c>
      <c r="AN3" s="67" t="s">
        <v>148</v>
      </c>
      <c r="AO3" s="66"/>
      <c r="AP3" s="66"/>
      <c r="AQ3" s="66"/>
      <c r="AR3" s="66"/>
      <c r="AS3" s="67" t="s">
        <v>149</v>
      </c>
      <c r="AT3" s="70" t="s">
        <v>150</v>
      </c>
      <c r="AU3" s="71"/>
      <c r="AV3" s="71"/>
      <c r="AW3" s="71"/>
      <c r="AX3" s="72"/>
      <c r="AY3" s="67" t="s">
        <v>151</v>
      </c>
      <c r="AZ3" s="73" t="s">
        <v>152</v>
      </c>
      <c r="BA3" s="73" t="s">
        <v>153</v>
      </c>
      <c r="BB3" s="67" t="s">
        <v>154</v>
      </c>
      <c r="BC3" s="66" t="s">
        <v>155</v>
      </c>
      <c r="BD3" s="66" t="s">
        <v>155</v>
      </c>
      <c r="BE3" s="66" t="s">
        <v>155</v>
      </c>
      <c r="BF3" s="66"/>
      <c r="BG3" s="66"/>
      <c r="BH3" s="66"/>
      <c r="BI3" s="66"/>
    </row>
    <row r="4">
      <c r="A4" s="74"/>
      <c r="B4" s="74"/>
      <c r="C4" s="75"/>
      <c r="D4" s="76"/>
      <c r="E4" s="77" t="s">
        <v>156</v>
      </c>
      <c r="F4" s="77" t="s">
        <v>157</v>
      </c>
      <c r="G4" s="78" t="s">
        <v>158</v>
      </c>
      <c r="H4" s="79" t="s">
        <v>159</v>
      </c>
      <c r="I4" s="78" t="s">
        <v>160</v>
      </c>
      <c r="J4" s="79" t="s">
        <v>161</v>
      </c>
      <c r="K4" s="76" t="s">
        <v>162</v>
      </c>
      <c r="L4" s="76"/>
      <c r="M4" s="77" t="s">
        <v>163</v>
      </c>
      <c r="N4" s="76" t="s">
        <v>164</v>
      </c>
      <c r="O4" s="77" t="s">
        <v>165</v>
      </c>
      <c r="P4" s="76" t="s">
        <v>166</v>
      </c>
      <c r="Q4" s="77" t="s">
        <v>167</v>
      </c>
      <c r="R4" s="76" t="s">
        <v>168</v>
      </c>
      <c r="S4" s="76"/>
      <c r="T4" s="77" t="s">
        <v>169</v>
      </c>
      <c r="U4" s="77" t="s">
        <v>170</v>
      </c>
      <c r="V4" s="76" t="s">
        <v>171</v>
      </c>
      <c r="W4" s="61"/>
      <c r="X4" s="77" t="s">
        <v>172</v>
      </c>
      <c r="Y4" s="61" t="s">
        <v>173</v>
      </c>
      <c r="Z4" s="61"/>
      <c r="AA4" s="77" t="s">
        <v>174</v>
      </c>
      <c r="AB4" s="76" t="s">
        <v>175</v>
      </c>
      <c r="AC4" s="77" t="s">
        <v>176</v>
      </c>
      <c r="AD4" s="76" t="s">
        <v>177</v>
      </c>
      <c r="AE4" s="76" t="s">
        <v>178</v>
      </c>
      <c r="AF4" s="76" t="s">
        <v>179</v>
      </c>
      <c r="AG4" s="76"/>
      <c r="AH4" s="77" t="s">
        <v>180</v>
      </c>
      <c r="AI4" s="76" t="s">
        <v>181</v>
      </c>
      <c r="AJ4" s="80"/>
      <c r="AK4" s="76" t="s">
        <v>182</v>
      </c>
      <c r="AL4" s="76" t="s">
        <v>183</v>
      </c>
      <c r="AM4" s="76"/>
      <c r="AN4" s="76"/>
      <c r="AO4" s="76" t="s">
        <v>184</v>
      </c>
      <c r="AP4" s="77" t="s">
        <v>185</v>
      </c>
      <c r="AQ4" s="77" t="s">
        <v>186</v>
      </c>
      <c r="AR4" s="77" t="s">
        <v>187</v>
      </c>
      <c r="AS4" s="76" t="s">
        <v>188</v>
      </c>
      <c r="AT4" s="76"/>
      <c r="AU4" s="81" t="s">
        <v>189</v>
      </c>
      <c r="AV4" s="82" t="s">
        <v>188</v>
      </c>
      <c r="AW4" s="82" t="s">
        <v>190</v>
      </c>
      <c r="AX4" s="82" t="s">
        <v>188</v>
      </c>
      <c r="AY4" s="76"/>
      <c r="AZ4" s="83">
        <v>0.3</v>
      </c>
      <c r="BA4" s="83">
        <v>0.3</v>
      </c>
      <c r="BB4" s="76"/>
      <c r="BC4" s="84">
        <v>0.05</v>
      </c>
      <c r="BD4" s="85">
        <v>0.1</v>
      </c>
      <c r="BE4" s="84">
        <v>0.15</v>
      </c>
      <c r="BF4" s="76"/>
      <c r="BG4" s="76"/>
      <c r="BH4" s="76"/>
      <c r="BI4" s="76"/>
    </row>
    <row r="5">
      <c r="A5" s="57" t="s">
        <v>1</v>
      </c>
      <c r="B5" s="57" t="s">
        <v>191</v>
      </c>
      <c r="C5" s="86"/>
      <c r="D5" s="3" t="s">
        <v>192</v>
      </c>
      <c r="E5" s="87">
        <v>2.5</v>
      </c>
      <c r="F5" s="6">
        <v>5000.0</v>
      </c>
      <c r="G5" s="6">
        <v>200.0</v>
      </c>
      <c r="H5" s="6">
        <f>F5-G5</f>
        <v>4800</v>
      </c>
      <c r="I5" s="6">
        <v>500.0</v>
      </c>
      <c r="J5" s="6">
        <f>H5-I5</f>
        <v>4300</v>
      </c>
      <c r="K5" s="6">
        <f>F5*E5</f>
        <v>12500</v>
      </c>
      <c r="M5" s="6">
        <v>50.0</v>
      </c>
      <c r="N5" s="14">
        <f>M5/G5</f>
        <v>0.25</v>
      </c>
      <c r="O5" s="6">
        <v>500.0</v>
      </c>
      <c r="P5" s="59">
        <f>O5/H5</f>
        <v>0.1041666667</v>
      </c>
      <c r="Q5" s="6">
        <v>100.0</v>
      </c>
      <c r="R5" s="14">
        <f>Q5/I5</f>
        <v>0.2</v>
      </c>
      <c r="T5" s="6">
        <v>0.4</v>
      </c>
      <c r="U5" s="14">
        <f>V5*I5</f>
        <v>500</v>
      </c>
      <c r="V5" s="6">
        <v>1.0</v>
      </c>
      <c r="X5" s="6">
        <v>1050.0</v>
      </c>
      <c r="Y5" s="14">
        <f>X5/F5</f>
        <v>0.21</v>
      </c>
      <c r="AA5" s="6">
        <v>100.0</v>
      </c>
      <c r="AB5" s="59">
        <f>AA5/F5</f>
        <v>0.02</v>
      </c>
      <c r="AC5" s="6">
        <v>100.0</v>
      </c>
      <c r="AD5" s="59">
        <f>AC5/F5</f>
        <v>0.02</v>
      </c>
      <c r="AE5" s="6">
        <v>1.0</v>
      </c>
      <c r="AF5" s="14">
        <f>AE5/F5</f>
        <v>0.0002</v>
      </c>
      <c r="AG5" s="6"/>
      <c r="AH5" s="6">
        <v>550.0</v>
      </c>
      <c r="AI5" s="59">
        <f>AH5/F5</f>
        <v>0.11</v>
      </c>
      <c r="AJ5" s="88">
        <f>AK5</f>
        <v>3.5102</v>
      </c>
      <c r="AK5" s="59">
        <f>E5+N5+T5+Y5+AB5+AD5+AF5+AI5</f>
        <v>3.5102</v>
      </c>
      <c r="AL5" s="59">
        <f>E5+P5+R5+V5+Y5+AB5+AD5+AF5+AI5</f>
        <v>4.164366667</v>
      </c>
      <c r="AM5" s="6">
        <v>19.99</v>
      </c>
      <c r="AO5" s="59">
        <f>AM5*0.15</f>
        <v>2.9985</v>
      </c>
      <c r="AQ5" s="6">
        <v>3.8</v>
      </c>
      <c r="AR5" s="6">
        <v>0.03</v>
      </c>
      <c r="AU5" s="59">
        <f>AM5-AK5-AO5-AQ5-AR5</f>
        <v>9.6513</v>
      </c>
      <c r="AV5" s="14">
        <f>(AU5/AM5)*100</f>
        <v>48.28064032</v>
      </c>
      <c r="AW5" s="59">
        <f>AM5-AL5-AO5-AQ5-AR5</f>
        <v>8.997133333</v>
      </c>
      <c r="AX5" s="14">
        <f>(AW5/AM5)*100</f>
        <v>45.00817075</v>
      </c>
    </row>
    <row r="6" collapsed="1">
      <c r="A6" s="89" t="s">
        <v>193</v>
      </c>
      <c r="B6" s="90"/>
      <c r="C6" s="90"/>
      <c r="P6" s="59"/>
      <c r="AB6" s="59"/>
      <c r="AD6" s="59"/>
      <c r="AI6" s="59"/>
      <c r="AJ6" s="91"/>
      <c r="AK6" s="59"/>
      <c r="AO6" s="59"/>
    </row>
    <row r="7" hidden="1" outlineLevel="1">
      <c r="A7" s="90"/>
      <c r="B7" s="92" t="s">
        <v>194</v>
      </c>
      <c r="C7" s="90"/>
      <c r="P7" s="59"/>
      <c r="AB7" s="59"/>
      <c r="AD7" s="59"/>
      <c r="AI7" s="59"/>
      <c r="AJ7" s="91"/>
      <c r="AK7" s="59"/>
      <c r="AO7" s="59"/>
    </row>
    <row r="8" hidden="1" outlineLevel="2">
      <c r="A8" s="90"/>
      <c r="B8" s="92"/>
      <c r="C8" s="93">
        <v>30.0</v>
      </c>
      <c r="F8" s="6">
        <v>2500.0</v>
      </c>
      <c r="G8" s="6">
        <v>200.0</v>
      </c>
      <c r="H8" s="6">
        <f t="shared" ref="H8:H11" si="1">F8-G8</f>
        <v>2300</v>
      </c>
      <c r="I8" s="6">
        <v>500.0</v>
      </c>
      <c r="J8" s="6">
        <f t="shared" ref="J8:J11" si="2">H8-I8</f>
        <v>1800</v>
      </c>
      <c r="K8" s="6">
        <f t="shared" ref="K8:K11" si="3">F8*E8</f>
        <v>0</v>
      </c>
      <c r="M8" s="6">
        <v>50.0</v>
      </c>
      <c r="N8" s="14">
        <f t="shared" ref="N8:N11" si="4">M8/G8</f>
        <v>0.25</v>
      </c>
      <c r="O8" s="6">
        <v>500.0</v>
      </c>
      <c r="P8" s="59">
        <f t="shared" ref="P8:P11" si="5">O8/H8</f>
        <v>0.2173913043</v>
      </c>
      <c r="Q8" s="6">
        <v>100.0</v>
      </c>
      <c r="R8" s="14">
        <f t="shared" ref="R8:R11" si="6">Q8/I8</f>
        <v>0.2</v>
      </c>
      <c r="T8" s="6">
        <v>0.4</v>
      </c>
      <c r="U8" s="14">
        <f t="shared" ref="U8:U11" si="7">V8*I8</f>
        <v>500</v>
      </c>
      <c r="V8" s="6">
        <v>1.0</v>
      </c>
      <c r="X8" s="6">
        <v>1050.0</v>
      </c>
      <c r="Y8" s="14">
        <f t="shared" ref="Y8:Y11" si="8">X8/F8</f>
        <v>0.42</v>
      </c>
      <c r="AA8" s="6">
        <v>100.0</v>
      </c>
      <c r="AB8" s="59">
        <f t="shared" ref="AB8:AB11" si="9">AA8/F8</f>
        <v>0.04</v>
      </c>
      <c r="AC8" s="6">
        <v>100.0</v>
      </c>
      <c r="AD8" s="59">
        <f t="shared" ref="AD8:AD11" si="10">AC8/F8</f>
        <v>0.04</v>
      </c>
      <c r="AE8" s="6">
        <v>1.0</v>
      </c>
      <c r="AF8" s="14">
        <f t="shared" ref="AF8:AF11" si="11">AE8/F8</f>
        <v>0.0004</v>
      </c>
      <c r="AG8" s="6"/>
      <c r="AH8" s="6">
        <v>550.0</v>
      </c>
      <c r="AI8" s="59">
        <f t="shared" ref="AI8:AI11" si="12">AH8/F8</f>
        <v>0.22</v>
      </c>
      <c r="AJ8" s="88">
        <f t="shared" ref="AJ8:AJ11" si="13">AK8</f>
        <v>1.3704</v>
      </c>
      <c r="AK8" s="59">
        <f t="shared" ref="AK8:AK11" si="14">E8+N8+T8+Y8+AB8+AD8+AF8+AI8</f>
        <v>1.3704</v>
      </c>
      <c r="AL8" s="59">
        <f t="shared" ref="AL8:AL11" si="15">E8+P8+R8+V8+Y8+AB8+AD8+AF8+AI8</f>
        <v>2.137791304</v>
      </c>
      <c r="AM8" s="6">
        <v>19.99</v>
      </c>
      <c r="AO8" s="59">
        <f t="shared" ref="AO8:AO11" si="16">AM8*0.15</f>
        <v>2.9985</v>
      </c>
      <c r="AQ8" s="6">
        <v>3.13</v>
      </c>
      <c r="AR8" s="6">
        <v>0.2</v>
      </c>
    </row>
    <row r="9" hidden="1" outlineLevel="2">
      <c r="A9" s="90"/>
      <c r="B9" s="92"/>
      <c r="C9" s="93">
        <v>60.0</v>
      </c>
      <c r="E9" s="6">
        <v>5.03</v>
      </c>
      <c r="F9" s="6">
        <v>2500.0</v>
      </c>
      <c r="G9" s="6">
        <v>200.0</v>
      </c>
      <c r="H9" s="6">
        <f t="shared" si="1"/>
        <v>2300</v>
      </c>
      <c r="I9" s="6">
        <v>500.0</v>
      </c>
      <c r="J9" s="6">
        <f t="shared" si="2"/>
        <v>1800</v>
      </c>
      <c r="K9" s="6">
        <f t="shared" si="3"/>
        <v>12575</v>
      </c>
      <c r="M9" s="6">
        <v>50.0</v>
      </c>
      <c r="N9" s="14">
        <f t="shared" si="4"/>
        <v>0.25</v>
      </c>
      <c r="O9" s="6">
        <v>500.0</v>
      </c>
      <c r="P9" s="59">
        <f t="shared" si="5"/>
        <v>0.2173913043</v>
      </c>
      <c r="Q9" s="6">
        <v>100.0</v>
      </c>
      <c r="R9" s="14">
        <f t="shared" si="6"/>
        <v>0.2</v>
      </c>
      <c r="T9" s="6">
        <v>0.4</v>
      </c>
      <c r="U9" s="14">
        <f t="shared" si="7"/>
        <v>500</v>
      </c>
      <c r="V9" s="6">
        <v>1.0</v>
      </c>
      <c r="X9" s="6">
        <v>1050.0</v>
      </c>
      <c r="Y9" s="14">
        <f t="shared" si="8"/>
        <v>0.42</v>
      </c>
      <c r="AA9" s="6">
        <v>100.0</v>
      </c>
      <c r="AB9" s="59">
        <f t="shared" si="9"/>
        <v>0.04</v>
      </c>
      <c r="AC9" s="6">
        <v>100.0</v>
      </c>
      <c r="AD9" s="59">
        <f t="shared" si="10"/>
        <v>0.04</v>
      </c>
      <c r="AE9" s="6">
        <v>1.0</v>
      </c>
      <c r="AF9" s="14">
        <f t="shared" si="11"/>
        <v>0.0004</v>
      </c>
      <c r="AG9" s="6"/>
      <c r="AH9" s="6">
        <v>550.0</v>
      </c>
      <c r="AI9" s="59">
        <f t="shared" si="12"/>
        <v>0.22</v>
      </c>
      <c r="AJ9" s="88">
        <f t="shared" si="13"/>
        <v>6.4004</v>
      </c>
      <c r="AK9" s="59">
        <f t="shared" si="14"/>
        <v>6.4004</v>
      </c>
      <c r="AL9" s="59">
        <f t="shared" si="15"/>
        <v>7.167791304</v>
      </c>
      <c r="AM9" s="6">
        <v>19.99</v>
      </c>
      <c r="AO9" s="59">
        <f t="shared" si="16"/>
        <v>2.9985</v>
      </c>
      <c r="AQ9" s="6">
        <v>3.13</v>
      </c>
      <c r="AR9" s="6">
        <v>0.2</v>
      </c>
    </row>
    <row r="10" hidden="1" outlineLevel="2">
      <c r="A10" s="90"/>
      <c r="B10" s="92"/>
      <c r="C10" s="93">
        <v>90.0</v>
      </c>
      <c r="F10" s="6">
        <v>2500.0</v>
      </c>
      <c r="G10" s="6">
        <v>200.0</v>
      </c>
      <c r="H10" s="6">
        <f t="shared" si="1"/>
        <v>2300</v>
      </c>
      <c r="I10" s="6">
        <v>500.0</v>
      </c>
      <c r="J10" s="6">
        <f t="shared" si="2"/>
        <v>1800</v>
      </c>
      <c r="K10" s="6">
        <f t="shared" si="3"/>
        <v>0</v>
      </c>
      <c r="M10" s="6">
        <v>50.0</v>
      </c>
      <c r="N10" s="14">
        <f t="shared" si="4"/>
        <v>0.25</v>
      </c>
      <c r="O10" s="6">
        <v>500.0</v>
      </c>
      <c r="P10" s="59">
        <f t="shared" si="5"/>
        <v>0.2173913043</v>
      </c>
      <c r="Q10" s="6">
        <v>100.0</v>
      </c>
      <c r="R10" s="14">
        <f t="shared" si="6"/>
        <v>0.2</v>
      </c>
      <c r="T10" s="6">
        <v>0.4</v>
      </c>
      <c r="U10" s="14">
        <f t="shared" si="7"/>
        <v>500</v>
      </c>
      <c r="V10" s="6">
        <v>1.0</v>
      </c>
      <c r="X10" s="6">
        <v>1050.0</v>
      </c>
      <c r="Y10" s="14">
        <f t="shared" si="8"/>
        <v>0.42</v>
      </c>
      <c r="AA10" s="6">
        <v>100.0</v>
      </c>
      <c r="AB10" s="59">
        <f t="shared" si="9"/>
        <v>0.04</v>
      </c>
      <c r="AC10" s="6">
        <v>100.0</v>
      </c>
      <c r="AD10" s="59">
        <f t="shared" si="10"/>
        <v>0.04</v>
      </c>
      <c r="AE10" s="6">
        <v>1.0</v>
      </c>
      <c r="AF10" s="14">
        <f t="shared" si="11"/>
        <v>0.0004</v>
      </c>
      <c r="AG10" s="6"/>
      <c r="AH10" s="6">
        <v>550.0</v>
      </c>
      <c r="AI10" s="59">
        <f t="shared" si="12"/>
        <v>0.22</v>
      </c>
      <c r="AJ10" s="88">
        <f t="shared" si="13"/>
        <v>1.3704</v>
      </c>
      <c r="AK10" s="59">
        <f t="shared" si="14"/>
        <v>1.3704</v>
      </c>
      <c r="AL10" s="59">
        <f t="shared" si="15"/>
        <v>2.137791304</v>
      </c>
      <c r="AM10" s="6">
        <v>19.99</v>
      </c>
      <c r="AO10" s="59">
        <f t="shared" si="16"/>
        <v>2.9985</v>
      </c>
      <c r="AQ10" s="6">
        <v>3.13</v>
      </c>
      <c r="AR10" s="6">
        <v>0.2</v>
      </c>
    </row>
    <row r="11" hidden="1" outlineLevel="2">
      <c r="A11" s="90"/>
      <c r="B11" s="92"/>
      <c r="C11" s="93">
        <v>120.0</v>
      </c>
      <c r="F11" s="6">
        <v>2500.0</v>
      </c>
      <c r="G11" s="6">
        <v>200.0</v>
      </c>
      <c r="H11" s="6">
        <f t="shared" si="1"/>
        <v>2300</v>
      </c>
      <c r="I11" s="6">
        <v>500.0</v>
      </c>
      <c r="J11" s="6">
        <f t="shared" si="2"/>
        <v>1800</v>
      </c>
      <c r="K11" s="6">
        <f t="shared" si="3"/>
        <v>0</v>
      </c>
      <c r="M11" s="6">
        <v>50.0</v>
      </c>
      <c r="N11" s="14">
        <f t="shared" si="4"/>
        <v>0.25</v>
      </c>
      <c r="O11" s="6">
        <v>500.0</v>
      </c>
      <c r="P11" s="59">
        <f t="shared" si="5"/>
        <v>0.2173913043</v>
      </c>
      <c r="Q11" s="6">
        <v>100.0</v>
      </c>
      <c r="R11" s="14">
        <f t="shared" si="6"/>
        <v>0.2</v>
      </c>
      <c r="T11" s="6">
        <v>0.4</v>
      </c>
      <c r="U11" s="14">
        <f t="shared" si="7"/>
        <v>500</v>
      </c>
      <c r="V11" s="6">
        <v>1.0</v>
      </c>
      <c r="X11" s="6">
        <v>1050.0</v>
      </c>
      <c r="Y11" s="14">
        <f t="shared" si="8"/>
        <v>0.42</v>
      </c>
      <c r="AA11" s="6">
        <v>100.0</v>
      </c>
      <c r="AB11" s="59">
        <f t="shared" si="9"/>
        <v>0.04</v>
      </c>
      <c r="AC11" s="6">
        <v>100.0</v>
      </c>
      <c r="AD11" s="59">
        <f t="shared" si="10"/>
        <v>0.04</v>
      </c>
      <c r="AE11" s="6">
        <v>1.0</v>
      </c>
      <c r="AF11" s="14">
        <f t="shared" si="11"/>
        <v>0.0004</v>
      </c>
      <c r="AG11" s="6"/>
      <c r="AH11" s="6">
        <v>550.0</v>
      </c>
      <c r="AI11" s="59">
        <f t="shared" si="12"/>
        <v>0.22</v>
      </c>
      <c r="AJ11" s="88">
        <f t="shared" si="13"/>
        <v>1.3704</v>
      </c>
      <c r="AK11" s="59">
        <f t="shared" si="14"/>
        <v>1.3704</v>
      </c>
      <c r="AL11" s="59">
        <f t="shared" si="15"/>
        <v>2.137791304</v>
      </c>
      <c r="AM11" s="6">
        <v>19.99</v>
      </c>
      <c r="AO11" s="59">
        <f t="shared" si="16"/>
        <v>2.9985</v>
      </c>
      <c r="AQ11" s="6">
        <v>3.13</v>
      </c>
      <c r="AR11" s="6">
        <v>0.2</v>
      </c>
    </row>
    <row r="12" hidden="1" outlineLevel="2">
      <c r="A12" s="90"/>
      <c r="B12" s="92"/>
      <c r="C12" s="94">
        <v>180.0</v>
      </c>
      <c r="F12" s="6"/>
      <c r="G12" s="6"/>
      <c r="H12" s="6"/>
      <c r="I12" s="6"/>
      <c r="J12" s="6"/>
      <c r="K12" s="6"/>
      <c r="M12" s="6"/>
      <c r="O12" s="6"/>
      <c r="P12" s="59"/>
      <c r="Q12" s="6"/>
      <c r="T12" s="6"/>
      <c r="V12" s="6"/>
      <c r="X12" s="6"/>
      <c r="AA12" s="6"/>
      <c r="AB12" s="59"/>
      <c r="AC12" s="6"/>
      <c r="AD12" s="59"/>
      <c r="AE12" s="6"/>
      <c r="AG12" s="6"/>
      <c r="AH12" s="6"/>
      <c r="AI12" s="59"/>
      <c r="AJ12" s="91"/>
      <c r="AK12" s="59"/>
      <c r="AM12" s="6"/>
      <c r="AO12" s="59"/>
      <c r="AQ12" s="6"/>
      <c r="AR12" s="6"/>
    </row>
    <row r="13" hidden="1" outlineLevel="1">
      <c r="A13" s="90"/>
      <c r="B13" s="92" t="s">
        <v>195</v>
      </c>
      <c r="C13" s="90"/>
      <c r="P13" s="59"/>
      <c r="AB13" s="59"/>
      <c r="AD13" s="59"/>
      <c r="AI13" s="59"/>
      <c r="AJ13" s="91"/>
      <c r="AK13" s="59"/>
      <c r="AO13" s="59"/>
    </row>
    <row r="14" hidden="1" outlineLevel="2">
      <c r="A14" s="90"/>
      <c r="B14" s="92"/>
      <c r="C14" s="93">
        <v>30.0</v>
      </c>
      <c r="F14" s="6">
        <v>2500.0</v>
      </c>
      <c r="G14" s="6">
        <v>200.0</v>
      </c>
      <c r="H14" s="6">
        <f t="shared" ref="H14:H17" si="17">F14-G14</f>
        <v>2300</v>
      </c>
      <c r="I14" s="6">
        <v>500.0</v>
      </c>
      <c r="J14" s="6">
        <f t="shared" ref="J14:J17" si="18">H14-I14</f>
        <v>1800</v>
      </c>
      <c r="K14" s="6">
        <f t="shared" ref="K14:K17" si="19">F14*E14</f>
        <v>0</v>
      </c>
      <c r="M14" s="6">
        <v>50.0</v>
      </c>
      <c r="N14" s="14">
        <f t="shared" ref="N14:N17" si="20">M14/G14</f>
        <v>0.25</v>
      </c>
      <c r="O14" s="6">
        <v>500.0</v>
      </c>
      <c r="P14" s="59">
        <f t="shared" ref="P14:P17" si="21">O14/H14</f>
        <v>0.2173913043</v>
      </c>
      <c r="Q14" s="6">
        <v>100.0</v>
      </c>
      <c r="R14" s="14">
        <f t="shared" ref="R14:R17" si="22">Q14/I14</f>
        <v>0.2</v>
      </c>
      <c r="T14" s="6">
        <v>0.4</v>
      </c>
      <c r="U14" s="14">
        <f t="shared" ref="U14:U17" si="23">V14*I14</f>
        <v>500</v>
      </c>
      <c r="V14" s="6">
        <v>1.0</v>
      </c>
      <c r="X14" s="6">
        <v>1050.0</v>
      </c>
      <c r="Y14" s="14">
        <f t="shared" ref="Y14:Y17" si="24">X14/F14</f>
        <v>0.42</v>
      </c>
      <c r="AA14" s="6">
        <v>100.0</v>
      </c>
      <c r="AB14" s="59">
        <f t="shared" ref="AB14:AB17" si="25">AA14/F14</f>
        <v>0.04</v>
      </c>
      <c r="AC14" s="6">
        <v>100.0</v>
      </c>
      <c r="AD14" s="59">
        <f t="shared" ref="AD14:AD17" si="26">AC14/F14</f>
        <v>0.04</v>
      </c>
      <c r="AE14" s="6">
        <v>1.0</v>
      </c>
      <c r="AF14" s="14">
        <f t="shared" ref="AF14:AF17" si="27">AE14/F14</f>
        <v>0.0004</v>
      </c>
      <c r="AG14" s="6"/>
      <c r="AH14" s="6">
        <v>800.0</v>
      </c>
      <c r="AI14" s="59">
        <f t="shared" ref="AI14:AI17" si="28">AH14/F14</f>
        <v>0.32</v>
      </c>
      <c r="AJ14" s="88">
        <f t="shared" ref="AJ14:AJ17" si="29">AK14</f>
        <v>1.4704</v>
      </c>
      <c r="AK14" s="59">
        <f t="shared" ref="AK14:AK17" si="30">E14+N14+T14+Y14+AB14+AD14+AF14+AI14</f>
        <v>1.4704</v>
      </c>
      <c r="AL14" s="59">
        <f t="shared" ref="AL14:AL17" si="31">E14+P14+R14+V14+Y14+AB14+AD14+AF14+AI14</f>
        <v>2.237791304</v>
      </c>
      <c r="AM14" s="6">
        <v>19.99</v>
      </c>
      <c r="AO14" s="59">
        <f t="shared" ref="AO14:AO17" si="32">AM14*0.15</f>
        <v>2.9985</v>
      </c>
      <c r="AQ14" s="6">
        <v>3.13</v>
      </c>
      <c r="AR14" s="6">
        <v>0.2</v>
      </c>
    </row>
    <row r="15" hidden="1" outlineLevel="2">
      <c r="A15" s="90"/>
      <c r="B15" s="92"/>
      <c r="C15" s="93">
        <v>60.0</v>
      </c>
      <c r="E15" s="6">
        <v>5.03</v>
      </c>
      <c r="F15" s="6">
        <v>2500.0</v>
      </c>
      <c r="G15" s="6">
        <v>200.0</v>
      </c>
      <c r="H15" s="6">
        <f t="shared" si="17"/>
        <v>2300</v>
      </c>
      <c r="I15" s="6">
        <v>500.0</v>
      </c>
      <c r="J15" s="6">
        <f t="shared" si="18"/>
        <v>1800</v>
      </c>
      <c r="K15" s="6">
        <f t="shared" si="19"/>
        <v>12575</v>
      </c>
      <c r="M15" s="6">
        <v>50.0</v>
      </c>
      <c r="N15" s="14">
        <f t="shared" si="20"/>
        <v>0.25</v>
      </c>
      <c r="O15" s="6">
        <v>500.0</v>
      </c>
      <c r="P15" s="59">
        <f t="shared" si="21"/>
        <v>0.2173913043</v>
      </c>
      <c r="Q15" s="6">
        <v>100.0</v>
      </c>
      <c r="R15" s="14">
        <f t="shared" si="22"/>
        <v>0.2</v>
      </c>
      <c r="T15" s="6">
        <v>0.4</v>
      </c>
      <c r="U15" s="14">
        <f t="shared" si="23"/>
        <v>500</v>
      </c>
      <c r="V15" s="6">
        <v>1.0</v>
      </c>
      <c r="X15" s="6">
        <v>1050.0</v>
      </c>
      <c r="Y15" s="14">
        <f t="shared" si="24"/>
        <v>0.42</v>
      </c>
      <c r="AA15" s="6">
        <v>100.0</v>
      </c>
      <c r="AB15" s="59">
        <f t="shared" si="25"/>
        <v>0.04</v>
      </c>
      <c r="AC15" s="6">
        <v>100.0</v>
      </c>
      <c r="AD15" s="59">
        <f t="shared" si="26"/>
        <v>0.04</v>
      </c>
      <c r="AE15" s="6">
        <v>1.0</v>
      </c>
      <c r="AF15" s="14">
        <f t="shared" si="27"/>
        <v>0.0004</v>
      </c>
      <c r="AG15" s="6"/>
      <c r="AH15" s="6">
        <v>800.0</v>
      </c>
      <c r="AI15" s="59">
        <f t="shared" si="28"/>
        <v>0.32</v>
      </c>
      <c r="AJ15" s="88">
        <f t="shared" si="29"/>
        <v>6.5004</v>
      </c>
      <c r="AK15" s="59">
        <f t="shared" si="30"/>
        <v>6.5004</v>
      </c>
      <c r="AL15" s="59">
        <f t="shared" si="31"/>
        <v>7.267791304</v>
      </c>
      <c r="AM15" s="6">
        <v>19.99</v>
      </c>
      <c r="AO15" s="59">
        <f t="shared" si="32"/>
        <v>2.9985</v>
      </c>
      <c r="AQ15" s="6">
        <v>3.13</v>
      </c>
      <c r="AR15" s="6">
        <v>0.2</v>
      </c>
    </row>
    <row r="16" hidden="1" outlineLevel="2">
      <c r="A16" s="90"/>
      <c r="B16" s="92"/>
      <c r="C16" s="93">
        <v>90.0</v>
      </c>
      <c r="F16" s="6">
        <v>2500.0</v>
      </c>
      <c r="G16" s="6">
        <v>200.0</v>
      </c>
      <c r="H16" s="6">
        <f t="shared" si="17"/>
        <v>2300</v>
      </c>
      <c r="I16" s="6">
        <v>500.0</v>
      </c>
      <c r="J16" s="6">
        <f t="shared" si="18"/>
        <v>1800</v>
      </c>
      <c r="K16" s="6">
        <f t="shared" si="19"/>
        <v>0</v>
      </c>
      <c r="M16" s="6">
        <v>50.0</v>
      </c>
      <c r="N16" s="14">
        <f t="shared" si="20"/>
        <v>0.25</v>
      </c>
      <c r="O16" s="6">
        <v>500.0</v>
      </c>
      <c r="P16" s="59">
        <f t="shared" si="21"/>
        <v>0.2173913043</v>
      </c>
      <c r="Q16" s="6">
        <v>100.0</v>
      </c>
      <c r="R16" s="14">
        <f t="shared" si="22"/>
        <v>0.2</v>
      </c>
      <c r="T16" s="6">
        <v>0.4</v>
      </c>
      <c r="U16" s="14">
        <f t="shared" si="23"/>
        <v>500</v>
      </c>
      <c r="V16" s="6">
        <v>1.0</v>
      </c>
      <c r="X16" s="6">
        <v>1050.0</v>
      </c>
      <c r="Y16" s="14">
        <f t="shared" si="24"/>
        <v>0.42</v>
      </c>
      <c r="AA16" s="6">
        <v>100.0</v>
      </c>
      <c r="AB16" s="59">
        <f t="shared" si="25"/>
        <v>0.04</v>
      </c>
      <c r="AC16" s="6">
        <v>100.0</v>
      </c>
      <c r="AD16" s="59">
        <f t="shared" si="26"/>
        <v>0.04</v>
      </c>
      <c r="AE16" s="6">
        <v>1.0</v>
      </c>
      <c r="AF16" s="14">
        <f t="shared" si="27"/>
        <v>0.0004</v>
      </c>
      <c r="AG16" s="6"/>
      <c r="AH16" s="6">
        <v>800.0</v>
      </c>
      <c r="AI16" s="59">
        <f t="shared" si="28"/>
        <v>0.32</v>
      </c>
      <c r="AJ16" s="88">
        <f t="shared" si="29"/>
        <v>1.4704</v>
      </c>
      <c r="AK16" s="59">
        <f t="shared" si="30"/>
        <v>1.4704</v>
      </c>
      <c r="AL16" s="59">
        <f t="shared" si="31"/>
        <v>2.237791304</v>
      </c>
      <c r="AM16" s="6">
        <v>19.99</v>
      </c>
      <c r="AO16" s="59">
        <f t="shared" si="32"/>
        <v>2.9985</v>
      </c>
      <c r="AQ16" s="6">
        <v>3.13</v>
      </c>
      <c r="AR16" s="6">
        <v>0.2</v>
      </c>
    </row>
    <row r="17" hidden="1" outlineLevel="2">
      <c r="A17" s="90"/>
      <c r="B17" s="92"/>
      <c r="C17" s="93">
        <v>120.0</v>
      </c>
      <c r="F17" s="6">
        <v>2500.0</v>
      </c>
      <c r="G17" s="6">
        <v>200.0</v>
      </c>
      <c r="H17" s="6">
        <f t="shared" si="17"/>
        <v>2300</v>
      </c>
      <c r="I17" s="6">
        <v>500.0</v>
      </c>
      <c r="J17" s="6">
        <f t="shared" si="18"/>
        <v>1800</v>
      </c>
      <c r="K17" s="6">
        <f t="shared" si="19"/>
        <v>0</v>
      </c>
      <c r="M17" s="6">
        <v>50.0</v>
      </c>
      <c r="N17" s="14">
        <f t="shared" si="20"/>
        <v>0.25</v>
      </c>
      <c r="O17" s="6">
        <v>500.0</v>
      </c>
      <c r="P17" s="59">
        <f t="shared" si="21"/>
        <v>0.2173913043</v>
      </c>
      <c r="Q17" s="6">
        <v>100.0</v>
      </c>
      <c r="R17" s="14">
        <f t="shared" si="22"/>
        <v>0.2</v>
      </c>
      <c r="T17" s="6">
        <v>0.4</v>
      </c>
      <c r="U17" s="14">
        <f t="shared" si="23"/>
        <v>500</v>
      </c>
      <c r="V17" s="6">
        <v>1.0</v>
      </c>
      <c r="X17" s="6">
        <v>1050.0</v>
      </c>
      <c r="Y17" s="14">
        <f t="shared" si="24"/>
        <v>0.42</v>
      </c>
      <c r="AA17" s="6">
        <v>100.0</v>
      </c>
      <c r="AB17" s="59">
        <f t="shared" si="25"/>
        <v>0.04</v>
      </c>
      <c r="AC17" s="6">
        <v>100.0</v>
      </c>
      <c r="AD17" s="59">
        <f t="shared" si="26"/>
        <v>0.04</v>
      </c>
      <c r="AE17" s="6">
        <v>1.0</v>
      </c>
      <c r="AF17" s="14">
        <f t="shared" si="27"/>
        <v>0.0004</v>
      </c>
      <c r="AG17" s="6"/>
      <c r="AH17" s="6">
        <v>800.0</v>
      </c>
      <c r="AI17" s="59">
        <f t="shared" si="28"/>
        <v>0.32</v>
      </c>
      <c r="AJ17" s="88">
        <f t="shared" si="29"/>
        <v>1.4704</v>
      </c>
      <c r="AK17" s="59">
        <f t="shared" si="30"/>
        <v>1.4704</v>
      </c>
      <c r="AL17" s="59">
        <f t="shared" si="31"/>
        <v>2.237791304</v>
      </c>
      <c r="AM17" s="6">
        <v>19.99</v>
      </c>
      <c r="AO17" s="59">
        <f t="shared" si="32"/>
        <v>2.9985</v>
      </c>
      <c r="AQ17" s="6">
        <v>3.13</v>
      </c>
      <c r="AR17" s="6">
        <v>0.2</v>
      </c>
    </row>
    <row r="18" hidden="1" outlineLevel="2">
      <c r="A18" s="90"/>
      <c r="B18" s="92"/>
      <c r="C18" s="94">
        <v>180.0</v>
      </c>
      <c r="F18" s="6"/>
      <c r="G18" s="6"/>
      <c r="H18" s="6"/>
      <c r="I18" s="6"/>
      <c r="J18" s="6"/>
      <c r="K18" s="6"/>
      <c r="M18" s="6"/>
      <c r="O18" s="6"/>
      <c r="P18" s="59"/>
      <c r="Q18" s="6"/>
      <c r="T18" s="6"/>
      <c r="V18" s="6"/>
      <c r="X18" s="6"/>
      <c r="AA18" s="6"/>
      <c r="AB18" s="59"/>
      <c r="AC18" s="6"/>
      <c r="AD18" s="59"/>
      <c r="AE18" s="6"/>
      <c r="AG18" s="6"/>
      <c r="AH18" s="6"/>
      <c r="AI18" s="59"/>
      <c r="AJ18" s="91"/>
      <c r="AK18" s="59"/>
      <c r="AM18" s="6"/>
      <c r="AO18" s="59"/>
      <c r="AQ18" s="6"/>
      <c r="AR18" s="6"/>
    </row>
    <row r="19" hidden="1" outlineLevel="1">
      <c r="A19" s="90"/>
      <c r="B19" s="92" t="s">
        <v>196</v>
      </c>
      <c r="C19" s="90"/>
      <c r="P19" s="59"/>
      <c r="AB19" s="59"/>
      <c r="AD19" s="59"/>
      <c r="AI19" s="59"/>
      <c r="AJ19" s="91"/>
      <c r="AK19" s="59"/>
      <c r="AO19" s="59"/>
    </row>
    <row r="20" hidden="1" outlineLevel="2">
      <c r="A20" s="90"/>
      <c r="B20" s="92"/>
      <c r="C20" s="93">
        <v>30.0</v>
      </c>
      <c r="F20" s="6">
        <v>2500.0</v>
      </c>
      <c r="G20" s="6">
        <v>200.0</v>
      </c>
      <c r="H20" s="6">
        <f t="shared" ref="H20:H23" si="33">F20-G20</f>
        <v>2300</v>
      </c>
      <c r="I20" s="6">
        <v>500.0</v>
      </c>
      <c r="J20" s="6">
        <f t="shared" ref="J20:J23" si="34">H20-I20</f>
        <v>1800</v>
      </c>
      <c r="K20" s="6">
        <f t="shared" ref="K20:K23" si="35">F20*E20</f>
        <v>0</v>
      </c>
      <c r="M20" s="6">
        <v>50.0</v>
      </c>
      <c r="N20" s="14">
        <f t="shared" ref="N20:N23" si="36">M20/G20</f>
        <v>0.25</v>
      </c>
      <c r="O20" s="6">
        <v>500.0</v>
      </c>
      <c r="P20" s="59">
        <f t="shared" ref="P20:P23" si="37">O20/H20</f>
        <v>0.2173913043</v>
      </c>
      <c r="Q20" s="6">
        <v>100.0</v>
      </c>
      <c r="R20" s="14">
        <f t="shared" ref="R20:R23" si="38">Q20/I20</f>
        <v>0.2</v>
      </c>
      <c r="T20" s="6">
        <v>0.4</v>
      </c>
      <c r="U20" s="14">
        <f t="shared" ref="U20:U23" si="39">V20*I20</f>
        <v>500</v>
      </c>
      <c r="V20" s="6">
        <v>1.0</v>
      </c>
      <c r="X20" s="6">
        <v>1050.0</v>
      </c>
      <c r="Y20" s="14">
        <f t="shared" ref="Y20:Y23" si="40">X20/F20</f>
        <v>0.42</v>
      </c>
      <c r="AA20" s="6">
        <v>100.0</v>
      </c>
      <c r="AB20" s="59">
        <f t="shared" ref="AB20:AB23" si="41">AA20/F20</f>
        <v>0.04</v>
      </c>
      <c r="AC20" s="6">
        <v>100.0</v>
      </c>
      <c r="AD20" s="59">
        <f t="shared" ref="AD20:AD23" si="42">AC20/F20</f>
        <v>0.04</v>
      </c>
      <c r="AE20" s="6">
        <v>1.0</v>
      </c>
      <c r="AF20" s="14">
        <f t="shared" ref="AF20:AF23" si="43">AE20/F20</f>
        <v>0.0004</v>
      </c>
      <c r="AG20" s="6"/>
      <c r="AH20" s="6">
        <v>800.0</v>
      </c>
      <c r="AI20" s="59">
        <f t="shared" ref="AI20:AI23" si="44">AH20/F20</f>
        <v>0.32</v>
      </c>
      <c r="AJ20" s="88">
        <f t="shared" ref="AJ20:AJ23" si="45">AK20</f>
        <v>1.4704</v>
      </c>
      <c r="AK20" s="59">
        <f t="shared" ref="AK20:AK23" si="46">E20+N20+T20+Y20+AB20+AD20+AF20+AI20</f>
        <v>1.4704</v>
      </c>
      <c r="AL20" s="59">
        <f t="shared" ref="AL20:AL23" si="47">E20+P20+R20+V20+Y20+AB20+AD20+AF20+AI20</f>
        <v>2.237791304</v>
      </c>
      <c r="AM20" s="6">
        <v>19.99</v>
      </c>
      <c r="AO20" s="59">
        <f t="shared" ref="AO20:AO23" si="48">AM20*0.15</f>
        <v>2.9985</v>
      </c>
      <c r="AQ20" s="6">
        <v>3.13</v>
      </c>
      <c r="AR20" s="6">
        <v>0.2</v>
      </c>
    </row>
    <row r="21" hidden="1" outlineLevel="2">
      <c r="A21" s="90"/>
      <c r="B21" s="92"/>
      <c r="C21" s="93">
        <v>60.0</v>
      </c>
      <c r="E21" s="6">
        <v>5.03</v>
      </c>
      <c r="F21" s="6">
        <v>2500.0</v>
      </c>
      <c r="G21" s="6">
        <v>200.0</v>
      </c>
      <c r="H21" s="6">
        <f t="shared" si="33"/>
        <v>2300</v>
      </c>
      <c r="I21" s="6">
        <v>500.0</v>
      </c>
      <c r="J21" s="6">
        <f t="shared" si="34"/>
        <v>1800</v>
      </c>
      <c r="K21" s="6">
        <f t="shared" si="35"/>
        <v>12575</v>
      </c>
      <c r="M21" s="6">
        <v>50.0</v>
      </c>
      <c r="N21" s="14">
        <f t="shared" si="36"/>
        <v>0.25</v>
      </c>
      <c r="O21" s="6">
        <v>500.0</v>
      </c>
      <c r="P21" s="59">
        <f t="shared" si="37"/>
        <v>0.2173913043</v>
      </c>
      <c r="Q21" s="6">
        <v>100.0</v>
      </c>
      <c r="R21" s="14">
        <f t="shared" si="38"/>
        <v>0.2</v>
      </c>
      <c r="T21" s="6">
        <v>0.4</v>
      </c>
      <c r="U21" s="14">
        <f t="shared" si="39"/>
        <v>500</v>
      </c>
      <c r="V21" s="6">
        <v>1.0</v>
      </c>
      <c r="X21" s="6">
        <v>1050.0</v>
      </c>
      <c r="Y21" s="14">
        <f t="shared" si="40"/>
        <v>0.42</v>
      </c>
      <c r="AA21" s="6">
        <v>100.0</v>
      </c>
      <c r="AB21" s="59">
        <f t="shared" si="41"/>
        <v>0.04</v>
      </c>
      <c r="AC21" s="6">
        <v>100.0</v>
      </c>
      <c r="AD21" s="59">
        <f t="shared" si="42"/>
        <v>0.04</v>
      </c>
      <c r="AE21" s="6">
        <v>1.0</v>
      </c>
      <c r="AF21" s="14">
        <f t="shared" si="43"/>
        <v>0.0004</v>
      </c>
      <c r="AG21" s="6"/>
      <c r="AH21" s="6">
        <v>800.0</v>
      </c>
      <c r="AI21" s="59">
        <f t="shared" si="44"/>
        <v>0.32</v>
      </c>
      <c r="AJ21" s="88">
        <f t="shared" si="45"/>
        <v>6.5004</v>
      </c>
      <c r="AK21" s="59">
        <f t="shared" si="46"/>
        <v>6.5004</v>
      </c>
      <c r="AL21" s="59">
        <f t="shared" si="47"/>
        <v>7.267791304</v>
      </c>
      <c r="AM21" s="6">
        <v>19.99</v>
      </c>
      <c r="AO21" s="59">
        <f t="shared" si="48"/>
        <v>2.9985</v>
      </c>
      <c r="AQ21" s="6">
        <v>3.13</v>
      </c>
      <c r="AR21" s="6">
        <v>0.2</v>
      </c>
    </row>
    <row r="22" hidden="1" outlineLevel="2">
      <c r="A22" s="90"/>
      <c r="B22" s="92"/>
      <c r="C22" s="93">
        <v>90.0</v>
      </c>
      <c r="F22" s="6">
        <v>2500.0</v>
      </c>
      <c r="G22" s="6">
        <v>200.0</v>
      </c>
      <c r="H22" s="6">
        <f t="shared" si="33"/>
        <v>2300</v>
      </c>
      <c r="I22" s="6">
        <v>500.0</v>
      </c>
      <c r="J22" s="6">
        <f t="shared" si="34"/>
        <v>1800</v>
      </c>
      <c r="K22" s="6">
        <f t="shared" si="35"/>
        <v>0</v>
      </c>
      <c r="M22" s="6">
        <v>50.0</v>
      </c>
      <c r="N22" s="14">
        <f t="shared" si="36"/>
        <v>0.25</v>
      </c>
      <c r="O22" s="6">
        <v>500.0</v>
      </c>
      <c r="P22" s="59">
        <f t="shared" si="37"/>
        <v>0.2173913043</v>
      </c>
      <c r="Q22" s="6">
        <v>100.0</v>
      </c>
      <c r="R22" s="14">
        <f t="shared" si="38"/>
        <v>0.2</v>
      </c>
      <c r="T22" s="6">
        <v>0.4</v>
      </c>
      <c r="U22" s="14">
        <f t="shared" si="39"/>
        <v>500</v>
      </c>
      <c r="V22" s="6">
        <v>1.0</v>
      </c>
      <c r="X22" s="6">
        <v>1050.0</v>
      </c>
      <c r="Y22" s="14">
        <f t="shared" si="40"/>
        <v>0.42</v>
      </c>
      <c r="AA22" s="6">
        <v>100.0</v>
      </c>
      <c r="AB22" s="59">
        <f t="shared" si="41"/>
        <v>0.04</v>
      </c>
      <c r="AC22" s="6">
        <v>100.0</v>
      </c>
      <c r="AD22" s="59">
        <f t="shared" si="42"/>
        <v>0.04</v>
      </c>
      <c r="AE22" s="6">
        <v>1.0</v>
      </c>
      <c r="AF22" s="14">
        <f t="shared" si="43"/>
        <v>0.0004</v>
      </c>
      <c r="AG22" s="6"/>
      <c r="AH22" s="6">
        <v>800.0</v>
      </c>
      <c r="AI22" s="59">
        <f t="shared" si="44"/>
        <v>0.32</v>
      </c>
      <c r="AJ22" s="88">
        <f t="shared" si="45"/>
        <v>1.4704</v>
      </c>
      <c r="AK22" s="59">
        <f t="shared" si="46"/>
        <v>1.4704</v>
      </c>
      <c r="AL22" s="59">
        <f t="shared" si="47"/>
        <v>2.237791304</v>
      </c>
      <c r="AM22" s="6">
        <v>19.99</v>
      </c>
      <c r="AO22" s="59">
        <f t="shared" si="48"/>
        <v>2.9985</v>
      </c>
      <c r="AQ22" s="6">
        <v>3.13</v>
      </c>
      <c r="AR22" s="6">
        <v>0.2</v>
      </c>
    </row>
    <row r="23" hidden="1" outlineLevel="2">
      <c r="A23" s="90"/>
      <c r="B23" s="92"/>
      <c r="C23" s="93">
        <v>120.0</v>
      </c>
      <c r="F23" s="6">
        <v>2500.0</v>
      </c>
      <c r="G23" s="6">
        <v>200.0</v>
      </c>
      <c r="H23" s="6">
        <f t="shared" si="33"/>
        <v>2300</v>
      </c>
      <c r="I23" s="6">
        <v>500.0</v>
      </c>
      <c r="J23" s="6">
        <f t="shared" si="34"/>
        <v>1800</v>
      </c>
      <c r="K23" s="6">
        <f t="shared" si="35"/>
        <v>0</v>
      </c>
      <c r="M23" s="6">
        <v>50.0</v>
      </c>
      <c r="N23" s="14">
        <f t="shared" si="36"/>
        <v>0.25</v>
      </c>
      <c r="O23" s="6">
        <v>500.0</v>
      </c>
      <c r="P23" s="59">
        <f t="shared" si="37"/>
        <v>0.2173913043</v>
      </c>
      <c r="Q23" s="6">
        <v>100.0</v>
      </c>
      <c r="R23" s="14">
        <f t="shared" si="38"/>
        <v>0.2</v>
      </c>
      <c r="T23" s="6">
        <v>0.4</v>
      </c>
      <c r="U23" s="14">
        <f t="shared" si="39"/>
        <v>500</v>
      </c>
      <c r="V23" s="6">
        <v>1.0</v>
      </c>
      <c r="X23" s="6">
        <v>1050.0</v>
      </c>
      <c r="Y23" s="14">
        <f t="shared" si="40"/>
        <v>0.42</v>
      </c>
      <c r="AA23" s="6">
        <v>100.0</v>
      </c>
      <c r="AB23" s="59">
        <f t="shared" si="41"/>
        <v>0.04</v>
      </c>
      <c r="AC23" s="6">
        <v>100.0</v>
      </c>
      <c r="AD23" s="59">
        <f t="shared" si="42"/>
        <v>0.04</v>
      </c>
      <c r="AE23" s="6">
        <v>1.0</v>
      </c>
      <c r="AF23" s="14">
        <f t="shared" si="43"/>
        <v>0.0004</v>
      </c>
      <c r="AG23" s="6"/>
      <c r="AH23" s="6">
        <v>800.0</v>
      </c>
      <c r="AI23" s="59">
        <f t="shared" si="44"/>
        <v>0.32</v>
      </c>
      <c r="AJ23" s="88">
        <f t="shared" si="45"/>
        <v>1.4704</v>
      </c>
      <c r="AK23" s="59">
        <f t="shared" si="46"/>
        <v>1.4704</v>
      </c>
      <c r="AL23" s="59">
        <f t="shared" si="47"/>
        <v>2.237791304</v>
      </c>
      <c r="AM23" s="6">
        <v>19.99</v>
      </c>
      <c r="AO23" s="59">
        <f t="shared" si="48"/>
        <v>2.9985</v>
      </c>
      <c r="AQ23" s="6">
        <v>3.13</v>
      </c>
      <c r="AR23" s="6">
        <v>0.2</v>
      </c>
    </row>
    <row r="24" hidden="1" outlineLevel="2">
      <c r="A24" s="90"/>
      <c r="B24" s="92"/>
      <c r="C24" s="94">
        <v>180.0</v>
      </c>
      <c r="F24" s="6"/>
      <c r="G24" s="6"/>
      <c r="H24" s="6"/>
      <c r="I24" s="6"/>
      <c r="J24" s="6"/>
      <c r="K24" s="6"/>
      <c r="M24" s="6"/>
      <c r="O24" s="6"/>
      <c r="P24" s="59"/>
      <c r="Q24" s="6"/>
      <c r="T24" s="6"/>
      <c r="V24" s="6"/>
      <c r="X24" s="6"/>
      <c r="AA24" s="6"/>
      <c r="AB24" s="59"/>
      <c r="AC24" s="6"/>
      <c r="AD24" s="59"/>
      <c r="AE24" s="6"/>
      <c r="AG24" s="6"/>
      <c r="AH24" s="6"/>
      <c r="AI24" s="59"/>
      <c r="AJ24" s="91"/>
      <c r="AK24" s="59"/>
      <c r="AM24" s="6"/>
      <c r="AO24" s="59"/>
      <c r="AQ24" s="6"/>
      <c r="AR24" s="6"/>
    </row>
    <row r="25" hidden="1" outlineLevel="1">
      <c r="A25" s="90"/>
      <c r="B25" s="92" t="s">
        <v>197</v>
      </c>
      <c r="C25" s="90"/>
      <c r="P25" s="59"/>
      <c r="AB25" s="59"/>
      <c r="AD25" s="59"/>
      <c r="AI25" s="59"/>
      <c r="AJ25" s="91"/>
      <c r="AK25" s="59"/>
      <c r="AO25" s="59"/>
    </row>
    <row r="26" hidden="1" outlineLevel="2">
      <c r="A26" s="90"/>
      <c r="B26" s="92"/>
      <c r="C26" s="93">
        <v>30.0</v>
      </c>
      <c r="F26" s="6">
        <v>2500.0</v>
      </c>
      <c r="G26" s="6">
        <v>200.0</v>
      </c>
      <c r="H26" s="6">
        <f t="shared" ref="H26:H29" si="49">F26-G26</f>
        <v>2300</v>
      </c>
      <c r="I26" s="6">
        <v>500.0</v>
      </c>
      <c r="J26" s="6">
        <f t="shared" ref="J26:J29" si="50">H26-I26</f>
        <v>1800</v>
      </c>
      <c r="K26" s="6">
        <f t="shared" ref="K26:K29" si="51">F26*E26</f>
        <v>0</v>
      </c>
      <c r="M26" s="6">
        <v>50.0</v>
      </c>
      <c r="N26" s="14">
        <f t="shared" ref="N26:N29" si="52">M26/G26</f>
        <v>0.25</v>
      </c>
      <c r="O26" s="6">
        <v>500.0</v>
      </c>
      <c r="P26" s="59">
        <f t="shared" ref="P26:P29" si="53">O26/H26</f>
        <v>0.2173913043</v>
      </c>
      <c r="Q26" s="6">
        <v>100.0</v>
      </c>
      <c r="R26" s="14">
        <f t="shared" ref="R26:R29" si="54">Q26/I26</f>
        <v>0.2</v>
      </c>
      <c r="T26" s="6">
        <v>0.4</v>
      </c>
      <c r="U26" s="14">
        <f t="shared" ref="U26:U29" si="55">V26*I26</f>
        <v>500</v>
      </c>
      <c r="V26" s="6">
        <v>1.0</v>
      </c>
      <c r="X26" s="6">
        <v>1050.0</v>
      </c>
      <c r="Y26" s="14">
        <f t="shared" ref="Y26:Y29" si="56">X26/F26</f>
        <v>0.42</v>
      </c>
      <c r="AA26" s="6">
        <v>100.0</v>
      </c>
      <c r="AB26" s="59">
        <f t="shared" ref="AB26:AB29" si="57">AA26/F26</f>
        <v>0.04</v>
      </c>
      <c r="AC26" s="6">
        <v>100.0</v>
      </c>
      <c r="AD26" s="59">
        <f t="shared" ref="AD26:AD29" si="58">AC26/F26</f>
        <v>0.04</v>
      </c>
      <c r="AE26" s="6">
        <v>1.0</v>
      </c>
      <c r="AF26" s="14">
        <f t="shared" ref="AF26:AF29" si="59">AE26/F26</f>
        <v>0.0004</v>
      </c>
      <c r="AG26" s="6"/>
      <c r="AH26" s="6">
        <v>850.0</v>
      </c>
      <c r="AI26" s="59">
        <f t="shared" ref="AI26:AI29" si="60">AH26/F26</f>
        <v>0.34</v>
      </c>
      <c r="AJ26" s="88">
        <f t="shared" ref="AJ26:AJ29" si="61">AK26</f>
        <v>1.4904</v>
      </c>
      <c r="AK26" s="59">
        <f t="shared" ref="AK26:AK29" si="62">E26+N26+T26+Y26+AB26+AD26+AF26+AI26</f>
        <v>1.4904</v>
      </c>
      <c r="AL26" s="59">
        <f t="shared" ref="AL26:AL29" si="63">E26+P26+R26+V26+Y26+AB26+AD26+AF26+AI26</f>
        <v>2.257791304</v>
      </c>
      <c r="AM26" s="6">
        <v>19.99</v>
      </c>
      <c r="AO26" s="59">
        <f t="shared" ref="AO26:AO29" si="64">AM26*0.15</f>
        <v>2.9985</v>
      </c>
      <c r="AQ26" s="6">
        <v>3.13</v>
      </c>
      <c r="AR26" s="6">
        <v>0.2</v>
      </c>
    </row>
    <row r="27" hidden="1" outlineLevel="2">
      <c r="A27" s="90"/>
      <c r="B27" s="92"/>
      <c r="C27" s="93">
        <v>60.0</v>
      </c>
      <c r="E27" s="6">
        <v>5.03</v>
      </c>
      <c r="F27" s="6">
        <v>2500.0</v>
      </c>
      <c r="G27" s="6">
        <v>200.0</v>
      </c>
      <c r="H27" s="6">
        <f t="shared" si="49"/>
        <v>2300</v>
      </c>
      <c r="I27" s="6">
        <v>500.0</v>
      </c>
      <c r="J27" s="6">
        <f t="shared" si="50"/>
        <v>1800</v>
      </c>
      <c r="K27" s="6">
        <f t="shared" si="51"/>
        <v>12575</v>
      </c>
      <c r="M27" s="6">
        <v>50.0</v>
      </c>
      <c r="N27" s="14">
        <f t="shared" si="52"/>
        <v>0.25</v>
      </c>
      <c r="O27" s="6">
        <v>500.0</v>
      </c>
      <c r="P27" s="59">
        <f t="shared" si="53"/>
        <v>0.2173913043</v>
      </c>
      <c r="Q27" s="6">
        <v>100.0</v>
      </c>
      <c r="R27" s="14">
        <f t="shared" si="54"/>
        <v>0.2</v>
      </c>
      <c r="T27" s="6">
        <v>0.4</v>
      </c>
      <c r="U27" s="14">
        <f t="shared" si="55"/>
        <v>500</v>
      </c>
      <c r="V27" s="6">
        <v>1.0</v>
      </c>
      <c r="X27" s="6">
        <v>1050.0</v>
      </c>
      <c r="Y27" s="14">
        <f t="shared" si="56"/>
        <v>0.42</v>
      </c>
      <c r="AA27" s="6">
        <v>100.0</v>
      </c>
      <c r="AB27" s="59">
        <f t="shared" si="57"/>
        <v>0.04</v>
      </c>
      <c r="AC27" s="6">
        <v>100.0</v>
      </c>
      <c r="AD27" s="59">
        <f t="shared" si="58"/>
        <v>0.04</v>
      </c>
      <c r="AE27" s="6">
        <v>1.0</v>
      </c>
      <c r="AF27" s="14">
        <f t="shared" si="59"/>
        <v>0.0004</v>
      </c>
      <c r="AG27" s="6"/>
      <c r="AH27" s="6">
        <v>850.0</v>
      </c>
      <c r="AI27" s="59">
        <f t="shared" si="60"/>
        <v>0.34</v>
      </c>
      <c r="AJ27" s="88">
        <f t="shared" si="61"/>
        <v>6.5204</v>
      </c>
      <c r="AK27" s="59">
        <f t="shared" si="62"/>
        <v>6.5204</v>
      </c>
      <c r="AL27" s="59">
        <f t="shared" si="63"/>
        <v>7.287791304</v>
      </c>
      <c r="AM27" s="6">
        <v>19.99</v>
      </c>
      <c r="AO27" s="59">
        <f t="shared" si="64"/>
        <v>2.9985</v>
      </c>
      <c r="AQ27" s="6">
        <v>3.13</v>
      </c>
      <c r="AR27" s="6">
        <v>0.2</v>
      </c>
    </row>
    <row r="28" hidden="1" outlineLevel="2">
      <c r="A28" s="90"/>
      <c r="B28" s="92"/>
      <c r="C28" s="93">
        <v>90.0</v>
      </c>
      <c r="F28" s="6">
        <v>2500.0</v>
      </c>
      <c r="G28" s="6">
        <v>200.0</v>
      </c>
      <c r="H28" s="6">
        <f t="shared" si="49"/>
        <v>2300</v>
      </c>
      <c r="I28" s="6">
        <v>500.0</v>
      </c>
      <c r="J28" s="6">
        <f t="shared" si="50"/>
        <v>1800</v>
      </c>
      <c r="K28" s="6">
        <f t="shared" si="51"/>
        <v>0</v>
      </c>
      <c r="M28" s="6">
        <v>50.0</v>
      </c>
      <c r="N28" s="14">
        <f t="shared" si="52"/>
        <v>0.25</v>
      </c>
      <c r="O28" s="6">
        <v>500.0</v>
      </c>
      <c r="P28" s="59">
        <f t="shared" si="53"/>
        <v>0.2173913043</v>
      </c>
      <c r="Q28" s="6">
        <v>100.0</v>
      </c>
      <c r="R28" s="14">
        <f t="shared" si="54"/>
        <v>0.2</v>
      </c>
      <c r="T28" s="6">
        <v>0.4</v>
      </c>
      <c r="U28" s="14">
        <f t="shared" si="55"/>
        <v>500</v>
      </c>
      <c r="V28" s="6">
        <v>1.0</v>
      </c>
      <c r="X28" s="6">
        <v>1050.0</v>
      </c>
      <c r="Y28" s="14">
        <f t="shared" si="56"/>
        <v>0.42</v>
      </c>
      <c r="AA28" s="6">
        <v>100.0</v>
      </c>
      <c r="AB28" s="59">
        <f t="shared" si="57"/>
        <v>0.04</v>
      </c>
      <c r="AC28" s="6">
        <v>100.0</v>
      </c>
      <c r="AD28" s="59">
        <f t="shared" si="58"/>
        <v>0.04</v>
      </c>
      <c r="AE28" s="6">
        <v>1.0</v>
      </c>
      <c r="AF28" s="14">
        <f t="shared" si="59"/>
        <v>0.0004</v>
      </c>
      <c r="AG28" s="6"/>
      <c r="AH28" s="6">
        <v>850.0</v>
      </c>
      <c r="AI28" s="59">
        <f t="shared" si="60"/>
        <v>0.34</v>
      </c>
      <c r="AJ28" s="88">
        <f t="shared" si="61"/>
        <v>1.4904</v>
      </c>
      <c r="AK28" s="59">
        <f t="shared" si="62"/>
        <v>1.4904</v>
      </c>
      <c r="AL28" s="59">
        <f t="shared" si="63"/>
        <v>2.257791304</v>
      </c>
      <c r="AM28" s="6">
        <v>19.99</v>
      </c>
      <c r="AO28" s="59">
        <f t="shared" si="64"/>
        <v>2.9985</v>
      </c>
      <c r="AQ28" s="6">
        <v>3.13</v>
      </c>
      <c r="AR28" s="6">
        <v>0.2</v>
      </c>
    </row>
    <row r="29" hidden="1" outlineLevel="2">
      <c r="A29" s="90"/>
      <c r="B29" s="92"/>
      <c r="C29" s="93">
        <v>120.0</v>
      </c>
      <c r="F29" s="6">
        <v>2500.0</v>
      </c>
      <c r="G29" s="6">
        <v>200.0</v>
      </c>
      <c r="H29" s="6">
        <f t="shared" si="49"/>
        <v>2300</v>
      </c>
      <c r="I29" s="6">
        <v>500.0</v>
      </c>
      <c r="J29" s="6">
        <f t="shared" si="50"/>
        <v>1800</v>
      </c>
      <c r="K29" s="6">
        <f t="shared" si="51"/>
        <v>0</v>
      </c>
      <c r="M29" s="6">
        <v>50.0</v>
      </c>
      <c r="N29" s="14">
        <f t="shared" si="52"/>
        <v>0.25</v>
      </c>
      <c r="O29" s="6">
        <v>500.0</v>
      </c>
      <c r="P29" s="59">
        <f t="shared" si="53"/>
        <v>0.2173913043</v>
      </c>
      <c r="Q29" s="6">
        <v>100.0</v>
      </c>
      <c r="R29" s="14">
        <f t="shared" si="54"/>
        <v>0.2</v>
      </c>
      <c r="T29" s="6">
        <v>0.4</v>
      </c>
      <c r="U29" s="14">
        <f t="shared" si="55"/>
        <v>500</v>
      </c>
      <c r="V29" s="6">
        <v>1.0</v>
      </c>
      <c r="X29" s="6">
        <v>1050.0</v>
      </c>
      <c r="Y29" s="14">
        <f t="shared" si="56"/>
        <v>0.42</v>
      </c>
      <c r="AA29" s="6">
        <v>100.0</v>
      </c>
      <c r="AB29" s="59">
        <f t="shared" si="57"/>
        <v>0.04</v>
      </c>
      <c r="AC29" s="6">
        <v>100.0</v>
      </c>
      <c r="AD29" s="59">
        <f t="shared" si="58"/>
        <v>0.04</v>
      </c>
      <c r="AE29" s="6">
        <v>1.0</v>
      </c>
      <c r="AF29" s="14">
        <f t="shared" si="59"/>
        <v>0.0004</v>
      </c>
      <c r="AG29" s="6"/>
      <c r="AH29" s="6">
        <v>850.0</v>
      </c>
      <c r="AI29" s="59">
        <f t="shared" si="60"/>
        <v>0.34</v>
      </c>
      <c r="AJ29" s="88">
        <f t="shared" si="61"/>
        <v>1.4904</v>
      </c>
      <c r="AK29" s="59">
        <f t="shared" si="62"/>
        <v>1.4904</v>
      </c>
      <c r="AL29" s="59">
        <f t="shared" si="63"/>
        <v>2.257791304</v>
      </c>
      <c r="AM29" s="6">
        <v>19.99</v>
      </c>
      <c r="AO29" s="59">
        <f t="shared" si="64"/>
        <v>2.9985</v>
      </c>
      <c r="AQ29" s="6">
        <v>3.13</v>
      </c>
      <c r="AR29" s="6">
        <v>0.2</v>
      </c>
    </row>
    <row r="30" hidden="1" outlineLevel="2">
      <c r="A30" s="90"/>
      <c r="B30" s="92"/>
      <c r="C30" s="94">
        <v>180.0</v>
      </c>
      <c r="F30" s="6"/>
      <c r="G30" s="6"/>
      <c r="H30" s="6"/>
      <c r="I30" s="6"/>
      <c r="J30" s="6"/>
      <c r="K30" s="6"/>
      <c r="M30" s="6"/>
      <c r="O30" s="6"/>
      <c r="P30" s="59"/>
      <c r="Q30" s="6"/>
      <c r="T30" s="6"/>
      <c r="V30" s="6"/>
      <c r="X30" s="6"/>
      <c r="AA30" s="6"/>
      <c r="AB30" s="59"/>
      <c r="AC30" s="6"/>
      <c r="AD30" s="59"/>
      <c r="AE30" s="6"/>
      <c r="AG30" s="6"/>
      <c r="AH30" s="6"/>
      <c r="AI30" s="59"/>
      <c r="AJ30" s="91"/>
      <c r="AK30" s="59"/>
      <c r="AM30" s="6"/>
      <c r="AO30" s="59"/>
      <c r="AQ30" s="6"/>
      <c r="AR30" s="6"/>
    </row>
    <row r="31" collapsed="1">
      <c r="A31" s="89" t="s">
        <v>198</v>
      </c>
      <c r="B31" s="90"/>
      <c r="C31" s="90"/>
      <c r="P31" s="59"/>
      <c r="AB31" s="59"/>
      <c r="AD31" s="59"/>
      <c r="AI31" s="59"/>
      <c r="AJ31" s="91"/>
      <c r="AK31" s="59"/>
      <c r="AO31" s="59"/>
    </row>
    <row r="32" hidden="1" outlineLevel="1">
      <c r="A32" s="90"/>
      <c r="B32" s="92" t="s">
        <v>194</v>
      </c>
      <c r="C32" s="90"/>
      <c r="P32" s="59"/>
      <c r="AB32" s="59"/>
      <c r="AD32" s="59"/>
      <c r="AI32" s="59"/>
      <c r="AJ32" s="91"/>
      <c r="AK32" s="59"/>
      <c r="AO32" s="59"/>
    </row>
    <row r="33" hidden="1" outlineLevel="2">
      <c r="A33" s="90"/>
      <c r="B33" s="92"/>
      <c r="C33" s="93">
        <v>30.0</v>
      </c>
      <c r="E33" s="57">
        <v>2.48</v>
      </c>
      <c r="F33" s="6">
        <v>3000.0</v>
      </c>
      <c r="G33" s="6">
        <v>200.0</v>
      </c>
      <c r="H33" s="6">
        <f t="shared" ref="H33:H37" si="65">F33-G33</f>
        <v>2800</v>
      </c>
      <c r="I33" s="6">
        <v>500.0</v>
      </c>
      <c r="J33" s="6">
        <f t="shared" ref="J33:J37" si="66">H33-I33</f>
        <v>2300</v>
      </c>
      <c r="K33" s="6">
        <f t="shared" ref="K33:K37" si="67">F33*E33</f>
        <v>7440</v>
      </c>
      <c r="M33" s="6">
        <v>50.0</v>
      </c>
      <c r="N33" s="14">
        <f t="shared" ref="N33:N37" si="68">M33/G33</f>
        <v>0.25</v>
      </c>
      <c r="O33" s="6">
        <v>500.0</v>
      </c>
      <c r="P33" s="59">
        <f t="shared" ref="P33:P37" si="69">O33/H33</f>
        <v>0.1785714286</v>
      </c>
      <c r="Q33" s="6">
        <v>100.0</v>
      </c>
      <c r="R33" s="14">
        <f t="shared" ref="R33:R37" si="70">Q33/I33</f>
        <v>0.2</v>
      </c>
      <c r="T33" s="6">
        <v>0.4</v>
      </c>
      <c r="U33" s="14">
        <f t="shared" ref="U33:U37" si="71">V33*I33</f>
        <v>500</v>
      </c>
      <c r="V33" s="6">
        <v>1.0</v>
      </c>
      <c r="X33" s="6">
        <v>1050.0</v>
      </c>
      <c r="Y33" s="14">
        <f t="shared" ref="Y33:Y37" si="72">X33/F33</f>
        <v>0.35</v>
      </c>
      <c r="AA33" s="6">
        <v>100.0</v>
      </c>
      <c r="AB33" s="59">
        <f t="shared" ref="AB33:AB37" si="73">AA33/F33</f>
        <v>0.03333333333</v>
      </c>
      <c r="AC33" s="6">
        <v>100.0</v>
      </c>
      <c r="AD33" s="59">
        <f t="shared" ref="AD33:AD37" si="74">AC33/F33</f>
        <v>0.03333333333</v>
      </c>
      <c r="AE33" s="6">
        <v>1.0</v>
      </c>
      <c r="AF33" s="14">
        <f t="shared" ref="AF33:AF37" si="75">AE33/F33</f>
        <v>0.0003333333333</v>
      </c>
      <c r="AG33" s="6"/>
      <c r="AH33" s="6">
        <v>550.0</v>
      </c>
      <c r="AI33" s="59">
        <f t="shared" ref="AI33:AI37" si="76">AH33/F33</f>
        <v>0.1833333333</v>
      </c>
      <c r="AJ33" s="88">
        <f t="shared" ref="AJ33:AJ37" si="77">AK33</f>
        <v>3.730333333</v>
      </c>
      <c r="AK33" s="59">
        <f t="shared" ref="AK33:AK37" si="78">E33+N33+T33+Y33+AB33+AD33+AF33+AI33</f>
        <v>3.730333333</v>
      </c>
      <c r="AL33" s="59">
        <f t="shared" ref="AL33:AL37" si="79">E33+P33+R33+V33+Y33+AB33+AD33+AF33+AI33</f>
        <v>4.458904762</v>
      </c>
      <c r="AM33" s="6">
        <v>24.0</v>
      </c>
      <c r="AO33" s="59">
        <f t="shared" ref="AO33:AO37" si="80">AM33*0.15</f>
        <v>3.6</v>
      </c>
      <c r="AQ33" s="6">
        <v>3.13</v>
      </c>
      <c r="AR33" s="6">
        <v>0.02</v>
      </c>
      <c r="AU33" s="59">
        <f t="shared" ref="AU33:AU37" si="81">AM33-AK33-AO33-AQ33-AR33</f>
        <v>13.51966667</v>
      </c>
      <c r="AV33" s="14">
        <f t="shared" ref="AV33:AV37" si="82">(AU33/AM33)*100</f>
        <v>56.33194444</v>
      </c>
      <c r="AW33" s="59">
        <f t="shared" ref="AW33:AW37" si="83">AM33-AL33-AO33-AQ33-AR33</f>
        <v>12.79109524</v>
      </c>
      <c r="AX33" s="14">
        <f t="shared" ref="AX33:AX37" si="84">(AW33/AM33)*100</f>
        <v>53.29623016</v>
      </c>
    </row>
    <row r="34" hidden="1" outlineLevel="2">
      <c r="A34" s="90"/>
      <c r="B34" s="92"/>
      <c r="C34" s="93">
        <v>60.0</v>
      </c>
      <c r="E34" s="57">
        <v>2.62</v>
      </c>
      <c r="F34" s="6">
        <v>3000.0</v>
      </c>
      <c r="G34" s="6">
        <v>200.0</v>
      </c>
      <c r="H34" s="6">
        <f t="shared" si="65"/>
        <v>2800</v>
      </c>
      <c r="I34" s="6">
        <v>500.0</v>
      </c>
      <c r="J34" s="6">
        <f t="shared" si="66"/>
        <v>2300</v>
      </c>
      <c r="K34" s="6">
        <f t="shared" si="67"/>
        <v>7860</v>
      </c>
      <c r="M34" s="6">
        <v>50.0</v>
      </c>
      <c r="N34" s="14">
        <f t="shared" si="68"/>
        <v>0.25</v>
      </c>
      <c r="O34" s="6">
        <v>500.0</v>
      </c>
      <c r="P34" s="59">
        <f t="shared" si="69"/>
        <v>0.1785714286</v>
      </c>
      <c r="Q34" s="6">
        <v>100.0</v>
      </c>
      <c r="R34" s="14">
        <f t="shared" si="70"/>
        <v>0.2</v>
      </c>
      <c r="T34" s="6">
        <v>0.4</v>
      </c>
      <c r="U34" s="14">
        <f t="shared" si="71"/>
        <v>500</v>
      </c>
      <c r="V34" s="6">
        <v>1.0</v>
      </c>
      <c r="X34" s="6">
        <v>1050.0</v>
      </c>
      <c r="Y34" s="14">
        <f t="shared" si="72"/>
        <v>0.35</v>
      </c>
      <c r="AA34" s="6">
        <v>100.0</v>
      </c>
      <c r="AB34" s="59">
        <f t="shared" si="73"/>
        <v>0.03333333333</v>
      </c>
      <c r="AC34" s="6">
        <v>100.0</v>
      </c>
      <c r="AD34" s="59">
        <f t="shared" si="74"/>
        <v>0.03333333333</v>
      </c>
      <c r="AE34" s="6">
        <v>1.0</v>
      </c>
      <c r="AF34" s="14">
        <f t="shared" si="75"/>
        <v>0.0003333333333</v>
      </c>
      <c r="AG34" s="6"/>
      <c r="AH34" s="6">
        <v>550.0</v>
      </c>
      <c r="AI34" s="59">
        <f t="shared" si="76"/>
        <v>0.1833333333</v>
      </c>
      <c r="AJ34" s="88">
        <f t="shared" si="77"/>
        <v>3.870333333</v>
      </c>
      <c r="AK34" s="59">
        <f t="shared" si="78"/>
        <v>3.870333333</v>
      </c>
      <c r="AL34" s="59">
        <f t="shared" si="79"/>
        <v>4.598904762</v>
      </c>
      <c r="AM34" s="6">
        <v>24.0</v>
      </c>
      <c r="AO34" s="59">
        <f t="shared" si="80"/>
        <v>3.6</v>
      </c>
      <c r="AQ34" s="6">
        <v>3.13</v>
      </c>
      <c r="AR34" s="6">
        <v>0.02</v>
      </c>
      <c r="AU34" s="59">
        <f t="shared" si="81"/>
        <v>13.37966667</v>
      </c>
      <c r="AV34" s="14">
        <f t="shared" si="82"/>
        <v>55.74861111</v>
      </c>
      <c r="AW34" s="59">
        <f t="shared" si="83"/>
        <v>12.65109524</v>
      </c>
      <c r="AX34" s="14">
        <f t="shared" si="84"/>
        <v>52.71289683</v>
      </c>
    </row>
    <row r="35" hidden="1" outlineLevel="2">
      <c r="A35" s="90"/>
      <c r="B35" s="92"/>
      <c r="C35" s="93">
        <v>90.0</v>
      </c>
      <c r="E35" s="57">
        <v>3.23</v>
      </c>
      <c r="F35" s="6">
        <v>3000.0</v>
      </c>
      <c r="G35" s="6">
        <v>200.0</v>
      </c>
      <c r="H35" s="6">
        <f t="shared" si="65"/>
        <v>2800</v>
      </c>
      <c r="I35" s="6">
        <v>500.0</v>
      </c>
      <c r="J35" s="6">
        <f t="shared" si="66"/>
        <v>2300</v>
      </c>
      <c r="K35" s="6">
        <f t="shared" si="67"/>
        <v>9690</v>
      </c>
      <c r="M35" s="6">
        <v>50.0</v>
      </c>
      <c r="N35" s="14">
        <f t="shared" si="68"/>
        <v>0.25</v>
      </c>
      <c r="O35" s="6">
        <v>500.0</v>
      </c>
      <c r="P35" s="59">
        <f t="shared" si="69"/>
        <v>0.1785714286</v>
      </c>
      <c r="Q35" s="6">
        <v>100.0</v>
      </c>
      <c r="R35" s="14">
        <f t="shared" si="70"/>
        <v>0.2</v>
      </c>
      <c r="T35" s="6">
        <v>0.4</v>
      </c>
      <c r="U35" s="14">
        <f t="shared" si="71"/>
        <v>500</v>
      </c>
      <c r="V35" s="6">
        <v>1.0</v>
      </c>
      <c r="X35" s="6">
        <v>1050.0</v>
      </c>
      <c r="Y35" s="14">
        <f t="shared" si="72"/>
        <v>0.35</v>
      </c>
      <c r="AA35" s="6">
        <v>100.0</v>
      </c>
      <c r="AB35" s="59">
        <f t="shared" si="73"/>
        <v>0.03333333333</v>
      </c>
      <c r="AC35" s="6">
        <v>100.0</v>
      </c>
      <c r="AD35" s="59">
        <f t="shared" si="74"/>
        <v>0.03333333333</v>
      </c>
      <c r="AE35" s="6">
        <v>1.0</v>
      </c>
      <c r="AF35" s="14">
        <f t="shared" si="75"/>
        <v>0.0003333333333</v>
      </c>
      <c r="AG35" s="6"/>
      <c r="AH35" s="6">
        <v>550.0</v>
      </c>
      <c r="AI35" s="59">
        <f t="shared" si="76"/>
        <v>0.1833333333</v>
      </c>
      <c r="AJ35" s="88">
        <f t="shared" si="77"/>
        <v>4.480333333</v>
      </c>
      <c r="AK35" s="59">
        <f t="shared" si="78"/>
        <v>4.480333333</v>
      </c>
      <c r="AL35" s="59">
        <f t="shared" si="79"/>
        <v>5.208904762</v>
      </c>
      <c r="AM35" s="6">
        <v>24.0</v>
      </c>
      <c r="AO35" s="59">
        <f t="shared" si="80"/>
        <v>3.6</v>
      </c>
      <c r="AQ35" s="6">
        <v>3.13</v>
      </c>
      <c r="AR35" s="6">
        <v>0.02</v>
      </c>
      <c r="AU35" s="59">
        <f t="shared" si="81"/>
        <v>12.76966667</v>
      </c>
      <c r="AV35" s="14">
        <f t="shared" si="82"/>
        <v>53.20694444</v>
      </c>
      <c r="AW35" s="59">
        <f t="shared" si="83"/>
        <v>12.04109524</v>
      </c>
      <c r="AX35" s="14">
        <f t="shared" si="84"/>
        <v>50.17123016</v>
      </c>
    </row>
    <row r="36" hidden="1" outlineLevel="2">
      <c r="A36" s="90"/>
      <c r="B36" s="92"/>
      <c r="C36" s="93">
        <v>120.0</v>
      </c>
      <c r="E36" s="57">
        <v>3.74</v>
      </c>
      <c r="F36" s="6">
        <v>3000.0</v>
      </c>
      <c r="G36" s="6">
        <v>200.0</v>
      </c>
      <c r="H36" s="6">
        <f t="shared" si="65"/>
        <v>2800</v>
      </c>
      <c r="I36" s="6">
        <v>500.0</v>
      </c>
      <c r="J36" s="6">
        <f t="shared" si="66"/>
        <v>2300</v>
      </c>
      <c r="K36" s="6">
        <f t="shared" si="67"/>
        <v>11220</v>
      </c>
      <c r="M36" s="6">
        <v>50.0</v>
      </c>
      <c r="N36" s="14">
        <f t="shared" si="68"/>
        <v>0.25</v>
      </c>
      <c r="O36" s="6">
        <v>500.0</v>
      </c>
      <c r="P36" s="59">
        <f t="shared" si="69"/>
        <v>0.1785714286</v>
      </c>
      <c r="Q36" s="6">
        <v>100.0</v>
      </c>
      <c r="R36" s="14">
        <f t="shared" si="70"/>
        <v>0.2</v>
      </c>
      <c r="T36" s="6">
        <v>0.4</v>
      </c>
      <c r="U36" s="14">
        <f t="shared" si="71"/>
        <v>500</v>
      </c>
      <c r="V36" s="6">
        <v>1.0</v>
      </c>
      <c r="X36" s="6">
        <v>1050.0</v>
      </c>
      <c r="Y36" s="14">
        <f t="shared" si="72"/>
        <v>0.35</v>
      </c>
      <c r="AA36" s="6">
        <v>100.0</v>
      </c>
      <c r="AB36" s="59">
        <f t="shared" si="73"/>
        <v>0.03333333333</v>
      </c>
      <c r="AC36" s="6">
        <v>100.0</v>
      </c>
      <c r="AD36" s="59">
        <f t="shared" si="74"/>
        <v>0.03333333333</v>
      </c>
      <c r="AE36" s="6">
        <v>1.0</v>
      </c>
      <c r="AF36" s="14">
        <f t="shared" si="75"/>
        <v>0.0003333333333</v>
      </c>
      <c r="AG36" s="6"/>
      <c r="AH36" s="6">
        <v>550.0</v>
      </c>
      <c r="AI36" s="59">
        <f t="shared" si="76"/>
        <v>0.1833333333</v>
      </c>
      <c r="AJ36" s="88">
        <f t="shared" si="77"/>
        <v>4.990333333</v>
      </c>
      <c r="AK36" s="59">
        <f t="shared" si="78"/>
        <v>4.990333333</v>
      </c>
      <c r="AL36" s="59">
        <f t="shared" si="79"/>
        <v>5.718904762</v>
      </c>
      <c r="AM36" s="6">
        <v>24.0</v>
      </c>
      <c r="AO36" s="59">
        <f t="shared" si="80"/>
        <v>3.6</v>
      </c>
      <c r="AQ36" s="6">
        <v>3.13</v>
      </c>
      <c r="AR36" s="6">
        <v>0.02</v>
      </c>
      <c r="AU36" s="59">
        <f t="shared" si="81"/>
        <v>12.25966667</v>
      </c>
      <c r="AV36" s="14">
        <f t="shared" si="82"/>
        <v>51.08194444</v>
      </c>
      <c r="AW36" s="59">
        <f t="shared" si="83"/>
        <v>11.53109524</v>
      </c>
      <c r="AX36" s="14">
        <f t="shared" si="84"/>
        <v>48.04623016</v>
      </c>
    </row>
    <row r="37" hidden="1" outlineLevel="2">
      <c r="A37" s="90"/>
      <c r="B37" s="92"/>
      <c r="C37" s="94">
        <v>180.0</v>
      </c>
      <c r="E37" s="95">
        <v>4.86</v>
      </c>
      <c r="F37" s="6">
        <v>3000.0</v>
      </c>
      <c r="G37" s="6">
        <v>200.0</v>
      </c>
      <c r="H37" s="6">
        <f t="shared" si="65"/>
        <v>2800</v>
      </c>
      <c r="I37" s="6">
        <v>500.0</v>
      </c>
      <c r="J37" s="6">
        <f t="shared" si="66"/>
        <v>2300</v>
      </c>
      <c r="K37" s="6">
        <f t="shared" si="67"/>
        <v>14580</v>
      </c>
      <c r="M37" s="6">
        <v>50.0</v>
      </c>
      <c r="N37" s="14">
        <f t="shared" si="68"/>
        <v>0.25</v>
      </c>
      <c r="O37" s="6">
        <v>500.0</v>
      </c>
      <c r="P37" s="59">
        <f t="shared" si="69"/>
        <v>0.1785714286</v>
      </c>
      <c r="Q37" s="6">
        <v>100.0</v>
      </c>
      <c r="R37" s="14">
        <f t="shared" si="70"/>
        <v>0.2</v>
      </c>
      <c r="T37" s="6">
        <v>0.4</v>
      </c>
      <c r="U37" s="14">
        <f t="shared" si="71"/>
        <v>500</v>
      </c>
      <c r="V37" s="6">
        <v>1.0</v>
      </c>
      <c r="X37" s="6">
        <v>1050.0</v>
      </c>
      <c r="Y37" s="14">
        <f t="shared" si="72"/>
        <v>0.35</v>
      </c>
      <c r="AA37" s="6">
        <v>100.0</v>
      </c>
      <c r="AB37" s="59">
        <f t="shared" si="73"/>
        <v>0.03333333333</v>
      </c>
      <c r="AC37" s="6">
        <v>100.0</v>
      </c>
      <c r="AD37" s="59">
        <f t="shared" si="74"/>
        <v>0.03333333333</v>
      </c>
      <c r="AE37" s="6">
        <v>1.0</v>
      </c>
      <c r="AF37" s="14">
        <f t="shared" si="75"/>
        <v>0.0003333333333</v>
      </c>
      <c r="AG37" s="6"/>
      <c r="AH37" s="6">
        <v>550.0</v>
      </c>
      <c r="AI37" s="59">
        <f t="shared" si="76"/>
        <v>0.1833333333</v>
      </c>
      <c r="AJ37" s="88">
        <f t="shared" si="77"/>
        <v>6.110333333</v>
      </c>
      <c r="AK37" s="59">
        <f t="shared" si="78"/>
        <v>6.110333333</v>
      </c>
      <c r="AL37" s="59">
        <f t="shared" si="79"/>
        <v>6.838904762</v>
      </c>
      <c r="AM37" s="6">
        <v>26.5</v>
      </c>
      <c r="AO37" s="59">
        <f t="shared" si="80"/>
        <v>3.975</v>
      </c>
      <c r="AQ37" s="6">
        <v>3.13</v>
      </c>
      <c r="AR37" s="6">
        <v>0.02</v>
      </c>
      <c r="AU37" s="59">
        <f t="shared" si="81"/>
        <v>13.26466667</v>
      </c>
      <c r="AV37" s="14">
        <f t="shared" si="82"/>
        <v>50.05534591</v>
      </c>
      <c r="AW37" s="59">
        <f t="shared" si="83"/>
        <v>12.53609524</v>
      </c>
      <c r="AX37" s="14">
        <f t="shared" si="84"/>
        <v>47.30601977</v>
      </c>
    </row>
    <row r="38" hidden="1" outlineLevel="1">
      <c r="A38" s="90"/>
      <c r="B38" s="92" t="s">
        <v>195</v>
      </c>
      <c r="C38" s="90"/>
      <c r="P38" s="59"/>
      <c r="AB38" s="59"/>
      <c r="AD38" s="59"/>
      <c r="AI38" s="59"/>
      <c r="AJ38" s="91"/>
      <c r="AK38" s="59"/>
      <c r="AO38" s="59"/>
    </row>
    <row r="39" hidden="1" outlineLevel="2">
      <c r="A39" s="90"/>
      <c r="B39" s="92"/>
      <c r="C39" s="93">
        <v>30.0</v>
      </c>
      <c r="E39" s="57">
        <v>2.48</v>
      </c>
      <c r="F39" s="6">
        <v>3000.0</v>
      </c>
      <c r="G39" s="6">
        <v>200.0</v>
      </c>
      <c r="H39" s="6">
        <f t="shared" ref="H39:H43" si="85">F39-G39</f>
        <v>2800</v>
      </c>
      <c r="I39" s="6">
        <v>500.0</v>
      </c>
      <c r="J39" s="6">
        <f t="shared" ref="J39:J43" si="86">H39-I39</f>
        <v>2300</v>
      </c>
      <c r="K39" s="6">
        <f t="shared" ref="K39:K43" si="87">F39*E39</f>
        <v>7440</v>
      </c>
      <c r="M39" s="6">
        <v>50.0</v>
      </c>
      <c r="N39" s="14">
        <f t="shared" ref="N39:N43" si="88">M39/G39</f>
        <v>0.25</v>
      </c>
      <c r="O39" s="6">
        <v>500.0</v>
      </c>
      <c r="P39" s="59">
        <f t="shared" ref="P39:P43" si="89">O39/H39</f>
        <v>0.1785714286</v>
      </c>
      <c r="Q39" s="6">
        <v>100.0</v>
      </c>
      <c r="R39" s="14">
        <f t="shared" ref="R39:R43" si="90">Q39/I39</f>
        <v>0.2</v>
      </c>
      <c r="T39" s="6">
        <v>0.4</v>
      </c>
      <c r="U39" s="14">
        <f t="shared" ref="U39:U43" si="91">V39*I39</f>
        <v>500</v>
      </c>
      <c r="V39" s="6">
        <v>1.0</v>
      </c>
      <c r="X39" s="6">
        <v>1050.0</v>
      </c>
      <c r="Y39" s="14">
        <f t="shared" ref="Y39:Y43" si="92">X39/F39</f>
        <v>0.35</v>
      </c>
      <c r="AA39" s="6">
        <v>100.0</v>
      </c>
      <c r="AB39" s="59">
        <f t="shared" ref="AB39:AB43" si="93">AA39/F39</f>
        <v>0.03333333333</v>
      </c>
      <c r="AC39" s="6">
        <v>100.0</v>
      </c>
      <c r="AD39" s="59">
        <f t="shared" ref="AD39:AD43" si="94">AC39/F39</f>
        <v>0.03333333333</v>
      </c>
      <c r="AE39" s="6">
        <v>1.0</v>
      </c>
      <c r="AF39" s="14">
        <f t="shared" ref="AF39:AF43" si="95">AE39/F39</f>
        <v>0.0003333333333</v>
      </c>
      <c r="AG39" s="6"/>
      <c r="AH39" s="6">
        <v>800.0</v>
      </c>
      <c r="AI39" s="59">
        <f t="shared" ref="AI39:AI43" si="96">AH39/F39</f>
        <v>0.2666666667</v>
      </c>
      <c r="AJ39" s="88">
        <f t="shared" ref="AJ39:AJ43" si="97">AK39</f>
        <v>3.813666667</v>
      </c>
      <c r="AK39" s="59">
        <f t="shared" ref="AK39:AK43" si="98">E39+N39+T39+Y39+AB39+AD39+AF39+AI39</f>
        <v>3.813666667</v>
      </c>
      <c r="AL39" s="59">
        <f t="shared" ref="AL39:AL43" si="99">E39+P39+R39+V39+Y39+AB39+AD39+AF39+AI39</f>
        <v>4.542238095</v>
      </c>
      <c r="AM39" s="6">
        <v>38.0</v>
      </c>
      <c r="AO39" s="59">
        <f t="shared" ref="AO39:AO43" si="100">AM39*0.15</f>
        <v>5.7</v>
      </c>
      <c r="AQ39" s="6">
        <v>3.13</v>
      </c>
      <c r="AR39" s="6">
        <v>0.02</v>
      </c>
      <c r="AU39" s="59">
        <f t="shared" ref="AU39:AU43" si="101">AM39-AK39-AO39-AQ39-AR39</f>
        <v>25.33633333</v>
      </c>
      <c r="AV39" s="14">
        <f t="shared" ref="AV39:AV43" si="102">(AU39/AM39)*100</f>
        <v>66.6745614</v>
      </c>
      <c r="AW39" s="59">
        <f t="shared" ref="AW39:AW43" si="103">AM39-AL39-AO39-AQ39-AR39</f>
        <v>24.6077619</v>
      </c>
      <c r="AX39" s="14">
        <f t="shared" ref="AX39:AX43" si="104">(AW39/AM39)*100</f>
        <v>64.75726817</v>
      </c>
    </row>
    <row r="40" hidden="1" outlineLevel="2">
      <c r="A40" s="90"/>
      <c r="B40" s="92"/>
      <c r="C40" s="93">
        <v>60.0</v>
      </c>
      <c r="E40" s="57">
        <v>2.62</v>
      </c>
      <c r="F40" s="6">
        <v>3000.0</v>
      </c>
      <c r="G40" s="6">
        <v>200.0</v>
      </c>
      <c r="H40" s="6">
        <f t="shared" si="85"/>
        <v>2800</v>
      </c>
      <c r="I40" s="6">
        <v>500.0</v>
      </c>
      <c r="J40" s="6">
        <f t="shared" si="86"/>
        <v>2300</v>
      </c>
      <c r="K40" s="6">
        <f t="shared" si="87"/>
        <v>7860</v>
      </c>
      <c r="M40" s="6">
        <v>50.0</v>
      </c>
      <c r="N40" s="14">
        <f t="shared" si="88"/>
        <v>0.25</v>
      </c>
      <c r="O40" s="6">
        <v>500.0</v>
      </c>
      <c r="P40" s="59">
        <f t="shared" si="89"/>
        <v>0.1785714286</v>
      </c>
      <c r="Q40" s="6">
        <v>100.0</v>
      </c>
      <c r="R40" s="14">
        <f t="shared" si="90"/>
        <v>0.2</v>
      </c>
      <c r="T40" s="6">
        <v>0.4</v>
      </c>
      <c r="U40" s="14">
        <f t="shared" si="91"/>
        <v>500</v>
      </c>
      <c r="V40" s="6">
        <v>1.0</v>
      </c>
      <c r="X40" s="6">
        <v>1050.0</v>
      </c>
      <c r="Y40" s="14">
        <f t="shared" si="92"/>
        <v>0.35</v>
      </c>
      <c r="AA40" s="6">
        <v>100.0</v>
      </c>
      <c r="AB40" s="59">
        <f t="shared" si="93"/>
        <v>0.03333333333</v>
      </c>
      <c r="AC40" s="6">
        <v>100.0</v>
      </c>
      <c r="AD40" s="59">
        <f t="shared" si="94"/>
        <v>0.03333333333</v>
      </c>
      <c r="AE40" s="6">
        <v>1.0</v>
      </c>
      <c r="AF40" s="14">
        <f t="shared" si="95"/>
        <v>0.0003333333333</v>
      </c>
      <c r="AG40" s="6"/>
      <c r="AH40" s="6">
        <v>800.0</v>
      </c>
      <c r="AI40" s="59">
        <f t="shared" si="96"/>
        <v>0.2666666667</v>
      </c>
      <c r="AJ40" s="88">
        <f t="shared" si="97"/>
        <v>3.953666667</v>
      </c>
      <c r="AK40" s="59">
        <f t="shared" si="98"/>
        <v>3.953666667</v>
      </c>
      <c r="AL40" s="59">
        <f t="shared" si="99"/>
        <v>4.682238095</v>
      </c>
      <c r="AM40" s="6">
        <v>38.0</v>
      </c>
      <c r="AO40" s="59">
        <f t="shared" si="100"/>
        <v>5.7</v>
      </c>
      <c r="AQ40" s="6">
        <v>3.13</v>
      </c>
      <c r="AR40" s="6">
        <v>0.02</v>
      </c>
      <c r="AU40" s="59">
        <f t="shared" si="101"/>
        <v>25.19633333</v>
      </c>
      <c r="AV40" s="14">
        <f t="shared" si="102"/>
        <v>66.30614035</v>
      </c>
      <c r="AW40" s="59">
        <f t="shared" si="103"/>
        <v>24.4677619</v>
      </c>
      <c r="AX40" s="14">
        <f t="shared" si="104"/>
        <v>64.38884712</v>
      </c>
    </row>
    <row r="41" hidden="1" outlineLevel="2">
      <c r="A41" s="90"/>
      <c r="B41" s="92"/>
      <c r="C41" s="93">
        <v>90.0</v>
      </c>
      <c r="E41" s="57">
        <v>3.23</v>
      </c>
      <c r="F41" s="6">
        <v>3000.0</v>
      </c>
      <c r="G41" s="6">
        <v>200.0</v>
      </c>
      <c r="H41" s="6">
        <f t="shared" si="85"/>
        <v>2800</v>
      </c>
      <c r="I41" s="6">
        <v>500.0</v>
      </c>
      <c r="J41" s="6">
        <f t="shared" si="86"/>
        <v>2300</v>
      </c>
      <c r="K41" s="6">
        <f t="shared" si="87"/>
        <v>9690</v>
      </c>
      <c r="M41" s="6">
        <v>50.0</v>
      </c>
      <c r="N41" s="14">
        <f t="shared" si="88"/>
        <v>0.25</v>
      </c>
      <c r="O41" s="6">
        <v>500.0</v>
      </c>
      <c r="P41" s="59">
        <f t="shared" si="89"/>
        <v>0.1785714286</v>
      </c>
      <c r="Q41" s="6">
        <v>100.0</v>
      </c>
      <c r="R41" s="14">
        <f t="shared" si="90"/>
        <v>0.2</v>
      </c>
      <c r="T41" s="6">
        <v>0.4</v>
      </c>
      <c r="U41" s="14">
        <f t="shared" si="91"/>
        <v>500</v>
      </c>
      <c r="V41" s="6">
        <v>1.0</v>
      </c>
      <c r="X41" s="6">
        <v>1050.0</v>
      </c>
      <c r="Y41" s="14">
        <f t="shared" si="92"/>
        <v>0.35</v>
      </c>
      <c r="AA41" s="6">
        <v>100.0</v>
      </c>
      <c r="AB41" s="59">
        <f t="shared" si="93"/>
        <v>0.03333333333</v>
      </c>
      <c r="AC41" s="6">
        <v>100.0</v>
      </c>
      <c r="AD41" s="59">
        <f t="shared" si="94"/>
        <v>0.03333333333</v>
      </c>
      <c r="AE41" s="6">
        <v>1.0</v>
      </c>
      <c r="AF41" s="14">
        <f t="shared" si="95"/>
        <v>0.0003333333333</v>
      </c>
      <c r="AG41" s="6"/>
      <c r="AH41" s="6">
        <v>800.0</v>
      </c>
      <c r="AI41" s="59">
        <f t="shared" si="96"/>
        <v>0.2666666667</v>
      </c>
      <c r="AJ41" s="88">
        <f t="shared" si="97"/>
        <v>4.563666667</v>
      </c>
      <c r="AK41" s="59">
        <f t="shared" si="98"/>
        <v>4.563666667</v>
      </c>
      <c r="AL41" s="59">
        <f t="shared" si="99"/>
        <v>5.292238095</v>
      </c>
      <c r="AM41" s="6">
        <v>38.0</v>
      </c>
      <c r="AO41" s="59">
        <f t="shared" si="100"/>
        <v>5.7</v>
      </c>
      <c r="AQ41" s="6">
        <v>3.13</v>
      </c>
      <c r="AR41" s="6">
        <v>0.02</v>
      </c>
      <c r="AU41" s="59">
        <f t="shared" si="101"/>
        <v>24.58633333</v>
      </c>
      <c r="AV41" s="14">
        <f t="shared" si="102"/>
        <v>64.70087719</v>
      </c>
      <c r="AW41" s="59">
        <f t="shared" si="103"/>
        <v>23.8577619</v>
      </c>
      <c r="AX41" s="14">
        <f t="shared" si="104"/>
        <v>62.78358396</v>
      </c>
    </row>
    <row r="42" hidden="1" outlineLevel="2">
      <c r="A42" s="90"/>
      <c r="B42" s="92"/>
      <c r="C42" s="93">
        <v>120.0</v>
      </c>
      <c r="E42" s="57">
        <v>3.74</v>
      </c>
      <c r="F42" s="6">
        <v>3000.0</v>
      </c>
      <c r="G42" s="6">
        <v>200.0</v>
      </c>
      <c r="H42" s="6">
        <f t="shared" si="85"/>
        <v>2800</v>
      </c>
      <c r="I42" s="6">
        <v>500.0</v>
      </c>
      <c r="J42" s="6">
        <f t="shared" si="86"/>
        <v>2300</v>
      </c>
      <c r="K42" s="6">
        <f t="shared" si="87"/>
        <v>11220</v>
      </c>
      <c r="M42" s="6">
        <v>50.0</v>
      </c>
      <c r="N42" s="14">
        <f t="shared" si="88"/>
        <v>0.25</v>
      </c>
      <c r="O42" s="6">
        <v>500.0</v>
      </c>
      <c r="P42" s="59">
        <f t="shared" si="89"/>
        <v>0.1785714286</v>
      </c>
      <c r="Q42" s="6">
        <v>100.0</v>
      </c>
      <c r="R42" s="14">
        <f t="shared" si="90"/>
        <v>0.2</v>
      </c>
      <c r="T42" s="6">
        <v>0.4</v>
      </c>
      <c r="U42" s="14">
        <f t="shared" si="91"/>
        <v>500</v>
      </c>
      <c r="V42" s="6">
        <v>1.0</v>
      </c>
      <c r="X42" s="6">
        <v>1050.0</v>
      </c>
      <c r="Y42" s="14">
        <f t="shared" si="92"/>
        <v>0.35</v>
      </c>
      <c r="AA42" s="6">
        <v>100.0</v>
      </c>
      <c r="AB42" s="59">
        <f t="shared" si="93"/>
        <v>0.03333333333</v>
      </c>
      <c r="AC42" s="6">
        <v>100.0</v>
      </c>
      <c r="AD42" s="59">
        <f t="shared" si="94"/>
        <v>0.03333333333</v>
      </c>
      <c r="AE42" s="6">
        <v>1.0</v>
      </c>
      <c r="AF42" s="14">
        <f t="shared" si="95"/>
        <v>0.0003333333333</v>
      </c>
      <c r="AG42" s="6"/>
      <c r="AH42" s="6">
        <v>800.0</v>
      </c>
      <c r="AI42" s="59">
        <f t="shared" si="96"/>
        <v>0.2666666667</v>
      </c>
      <c r="AJ42" s="88">
        <f t="shared" si="97"/>
        <v>5.073666667</v>
      </c>
      <c r="AK42" s="59">
        <f t="shared" si="98"/>
        <v>5.073666667</v>
      </c>
      <c r="AL42" s="59">
        <f t="shared" si="99"/>
        <v>5.802238095</v>
      </c>
      <c r="AM42" s="6">
        <v>38.0</v>
      </c>
      <c r="AO42" s="59">
        <f t="shared" si="100"/>
        <v>5.7</v>
      </c>
      <c r="AQ42" s="6">
        <v>3.13</v>
      </c>
      <c r="AR42" s="6">
        <v>0.02</v>
      </c>
      <c r="AU42" s="59">
        <f t="shared" si="101"/>
        <v>24.07633333</v>
      </c>
      <c r="AV42" s="14">
        <f t="shared" si="102"/>
        <v>63.35877193</v>
      </c>
      <c r="AW42" s="59">
        <f t="shared" si="103"/>
        <v>23.3477619</v>
      </c>
      <c r="AX42" s="14">
        <f t="shared" si="104"/>
        <v>61.4414787</v>
      </c>
    </row>
    <row r="43" hidden="1" outlineLevel="2">
      <c r="A43" s="90"/>
      <c r="B43" s="92"/>
      <c r="C43" s="94">
        <v>180.0</v>
      </c>
      <c r="E43" s="95">
        <v>4.86</v>
      </c>
      <c r="F43" s="6">
        <v>3000.0</v>
      </c>
      <c r="G43" s="6">
        <v>200.0</v>
      </c>
      <c r="H43" s="6">
        <f t="shared" si="85"/>
        <v>2800</v>
      </c>
      <c r="I43" s="6">
        <v>500.0</v>
      </c>
      <c r="J43" s="6">
        <f t="shared" si="86"/>
        <v>2300</v>
      </c>
      <c r="K43" s="6">
        <f t="shared" si="87"/>
        <v>14580</v>
      </c>
      <c r="M43" s="6">
        <v>50.0</v>
      </c>
      <c r="N43" s="14">
        <f t="shared" si="88"/>
        <v>0.25</v>
      </c>
      <c r="O43" s="6">
        <v>500.0</v>
      </c>
      <c r="P43" s="59">
        <f t="shared" si="89"/>
        <v>0.1785714286</v>
      </c>
      <c r="Q43" s="6">
        <v>100.0</v>
      </c>
      <c r="R43" s="14">
        <f t="shared" si="90"/>
        <v>0.2</v>
      </c>
      <c r="T43" s="6">
        <v>0.4</v>
      </c>
      <c r="U43" s="14">
        <f t="shared" si="91"/>
        <v>500</v>
      </c>
      <c r="V43" s="6">
        <v>1.0</v>
      </c>
      <c r="X43" s="6">
        <v>1050.0</v>
      </c>
      <c r="Y43" s="14">
        <f t="shared" si="92"/>
        <v>0.35</v>
      </c>
      <c r="AA43" s="6">
        <v>100.0</v>
      </c>
      <c r="AB43" s="59">
        <f t="shared" si="93"/>
        <v>0.03333333333</v>
      </c>
      <c r="AC43" s="6">
        <v>100.0</v>
      </c>
      <c r="AD43" s="59">
        <f t="shared" si="94"/>
        <v>0.03333333333</v>
      </c>
      <c r="AE43" s="6">
        <v>1.0</v>
      </c>
      <c r="AF43" s="14">
        <f t="shared" si="95"/>
        <v>0.0003333333333</v>
      </c>
      <c r="AG43" s="6"/>
      <c r="AH43" s="6">
        <v>800.0</v>
      </c>
      <c r="AI43" s="59">
        <f t="shared" si="96"/>
        <v>0.2666666667</v>
      </c>
      <c r="AJ43" s="88">
        <f t="shared" si="97"/>
        <v>6.193666667</v>
      </c>
      <c r="AK43" s="59">
        <f t="shared" si="98"/>
        <v>6.193666667</v>
      </c>
      <c r="AL43" s="59">
        <f t="shared" si="99"/>
        <v>6.922238095</v>
      </c>
      <c r="AM43" s="6">
        <v>38.0</v>
      </c>
      <c r="AO43" s="59">
        <f t="shared" si="100"/>
        <v>5.7</v>
      </c>
      <c r="AQ43" s="6">
        <v>3.13</v>
      </c>
      <c r="AR43" s="6">
        <v>0.02</v>
      </c>
      <c r="AU43" s="59">
        <f t="shared" si="101"/>
        <v>22.95633333</v>
      </c>
      <c r="AV43" s="14">
        <f t="shared" si="102"/>
        <v>60.41140351</v>
      </c>
      <c r="AW43" s="59">
        <f t="shared" si="103"/>
        <v>22.2277619</v>
      </c>
      <c r="AX43" s="14">
        <f t="shared" si="104"/>
        <v>58.49411028</v>
      </c>
    </row>
    <row r="44" hidden="1" outlineLevel="1">
      <c r="A44" s="90"/>
      <c r="B44" s="92" t="s">
        <v>196</v>
      </c>
      <c r="C44" s="90"/>
      <c r="P44" s="59"/>
      <c r="AB44" s="59"/>
      <c r="AD44" s="59"/>
      <c r="AI44" s="59"/>
      <c r="AJ44" s="91"/>
      <c r="AK44" s="59"/>
      <c r="AO44" s="59"/>
    </row>
    <row r="45" hidden="1" outlineLevel="2">
      <c r="A45" s="90"/>
      <c r="B45" s="92"/>
      <c r="C45" s="93">
        <v>30.0</v>
      </c>
      <c r="E45" s="57">
        <v>2.48</v>
      </c>
      <c r="F45" s="6">
        <v>3000.0</v>
      </c>
      <c r="G45" s="6">
        <v>200.0</v>
      </c>
      <c r="H45" s="6">
        <f t="shared" ref="H45:H49" si="105">F45-G45</f>
        <v>2800</v>
      </c>
      <c r="I45" s="6">
        <v>500.0</v>
      </c>
      <c r="J45" s="6">
        <f t="shared" ref="J45:J49" si="106">H45-I45</f>
        <v>2300</v>
      </c>
      <c r="K45" s="6">
        <f t="shared" ref="K45:K49" si="107">F45*E45</f>
        <v>7440</v>
      </c>
      <c r="M45" s="6">
        <v>50.0</v>
      </c>
      <c r="N45" s="14">
        <f t="shared" ref="N45:N49" si="108">M45/G45</f>
        <v>0.25</v>
      </c>
      <c r="O45" s="6">
        <v>500.0</v>
      </c>
      <c r="P45" s="59">
        <f t="shared" ref="P45:P49" si="109">O45/H45</f>
        <v>0.1785714286</v>
      </c>
      <c r="Q45" s="6">
        <v>100.0</v>
      </c>
      <c r="R45" s="14">
        <f t="shared" ref="R45:R49" si="110">Q45/I45</f>
        <v>0.2</v>
      </c>
      <c r="T45" s="6">
        <v>0.4</v>
      </c>
      <c r="U45" s="14">
        <f t="shared" ref="U45:U49" si="111">V45*I45</f>
        <v>500</v>
      </c>
      <c r="V45" s="6">
        <v>1.0</v>
      </c>
      <c r="X45" s="6">
        <v>1050.0</v>
      </c>
      <c r="Y45" s="14">
        <f t="shared" ref="Y45:Y49" si="112">X45/F45</f>
        <v>0.35</v>
      </c>
      <c r="AA45" s="6">
        <v>100.0</v>
      </c>
      <c r="AB45" s="59">
        <f t="shared" ref="AB45:AB49" si="113">AA45/F45</f>
        <v>0.03333333333</v>
      </c>
      <c r="AC45" s="6">
        <v>100.0</v>
      </c>
      <c r="AD45" s="59">
        <f t="shared" ref="AD45:AD49" si="114">AC45/F45</f>
        <v>0.03333333333</v>
      </c>
      <c r="AE45" s="6">
        <v>1.0</v>
      </c>
      <c r="AF45" s="14">
        <f t="shared" ref="AF45:AF49" si="115">AE45/F45</f>
        <v>0.0003333333333</v>
      </c>
      <c r="AG45" s="6"/>
      <c r="AH45" s="6">
        <v>800.0</v>
      </c>
      <c r="AI45" s="59">
        <f t="shared" ref="AI45:AI49" si="116">AH45/F45</f>
        <v>0.2666666667</v>
      </c>
      <c r="AJ45" s="88">
        <f t="shared" ref="AJ45:AJ49" si="117">AK45</f>
        <v>3.813666667</v>
      </c>
      <c r="AK45" s="59">
        <f t="shared" ref="AK45:AK49" si="118">E45+N45+T45+Y45+AB45+AD45+AF45+AI45</f>
        <v>3.813666667</v>
      </c>
      <c r="AL45" s="59">
        <f t="shared" ref="AL45:AL49" si="119">E45+P45+R45+V45+Y45+AB45+AD45+AF45+AI45</f>
        <v>4.542238095</v>
      </c>
      <c r="AM45" s="6">
        <v>32.0</v>
      </c>
      <c r="AO45" s="59">
        <f t="shared" ref="AO45:AO49" si="120">AM45*0.15</f>
        <v>4.8</v>
      </c>
      <c r="AQ45" s="6">
        <v>3.13</v>
      </c>
      <c r="AR45" s="6">
        <v>0.02</v>
      </c>
      <c r="AU45" s="59">
        <f t="shared" ref="AU45:AU49" si="121">AM45-AK45-AO45-AQ45-AR45</f>
        <v>20.23633333</v>
      </c>
      <c r="AV45" s="14">
        <f t="shared" ref="AV45:AV49" si="122">(AU45/AM45)*100</f>
        <v>63.23854167</v>
      </c>
      <c r="AW45" s="59">
        <f t="shared" ref="AW45:AW49" si="123">AM45-AL45-AO45-AQ45-AR45</f>
        <v>19.5077619</v>
      </c>
      <c r="AX45" s="14">
        <f t="shared" ref="AX45:AX49" si="124">(AW45/AM45)*100</f>
        <v>60.96175595</v>
      </c>
    </row>
    <row r="46" hidden="1" outlineLevel="2">
      <c r="A46" s="90"/>
      <c r="B46" s="92"/>
      <c r="C46" s="93">
        <v>60.0</v>
      </c>
      <c r="E46" s="57">
        <v>2.62</v>
      </c>
      <c r="F46" s="6">
        <v>3000.0</v>
      </c>
      <c r="G46" s="6">
        <v>200.0</v>
      </c>
      <c r="H46" s="6">
        <f t="shared" si="105"/>
        <v>2800</v>
      </c>
      <c r="I46" s="6">
        <v>500.0</v>
      </c>
      <c r="J46" s="6">
        <f t="shared" si="106"/>
        <v>2300</v>
      </c>
      <c r="K46" s="6">
        <f t="shared" si="107"/>
        <v>7860</v>
      </c>
      <c r="M46" s="6">
        <v>50.0</v>
      </c>
      <c r="N46" s="14">
        <f t="shared" si="108"/>
        <v>0.25</v>
      </c>
      <c r="O46" s="6">
        <v>500.0</v>
      </c>
      <c r="P46" s="59">
        <f t="shared" si="109"/>
        <v>0.1785714286</v>
      </c>
      <c r="Q46" s="6">
        <v>100.0</v>
      </c>
      <c r="R46" s="14">
        <f t="shared" si="110"/>
        <v>0.2</v>
      </c>
      <c r="T46" s="6">
        <v>0.4</v>
      </c>
      <c r="U46" s="14">
        <f t="shared" si="111"/>
        <v>500</v>
      </c>
      <c r="V46" s="6">
        <v>1.0</v>
      </c>
      <c r="X46" s="6">
        <v>1050.0</v>
      </c>
      <c r="Y46" s="14">
        <f t="shared" si="112"/>
        <v>0.35</v>
      </c>
      <c r="AA46" s="6">
        <v>100.0</v>
      </c>
      <c r="AB46" s="59">
        <f t="shared" si="113"/>
        <v>0.03333333333</v>
      </c>
      <c r="AC46" s="6">
        <v>100.0</v>
      </c>
      <c r="AD46" s="59">
        <f t="shared" si="114"/>
        <v>0.03333333333</v>
      </c>
      <c r="AE46" s="6">
        <v>1.0</v>
      </c>
      <c r="AF46" s="14">
        <f t="shared" si="115"/>
        <v>0.0003333333333</v>
      </c>
      <c r="AG46" s="6"/>
      <c r="AH46" s="6">
        <v>800.0</v>
      </c>
      <c r="AI46" s="59">
        <f t="shared" si="116"/>
        <v>0.2666666667</v>
      </c>
      <c r="AJ46" s="88">
        <f t="shared" si="117"/>
        <v>3.953666667</v>
      </c>
      <c r="AK46" s="59">
        <f t="shared" si="118"/>
        <v>3.953666667</v>
      </c>
      <c r="AL46" s="59">
        <f t="shared" si="119"/>
        <v>4.682238095</v>
      </c>
      <c r="AM46" s="6">
        <v>32.0</v>
      </c>
      <c r="AO46" s="59">
        <f t="shared" si="120"/>
        <v>4.8</v>
      </c>
      <c r="AQ46" s="6">
        <v>3.13</v>
      </c>
      <c r="AR46" s="6">
        <v>0.02</v>
      </c>
      <c r="AU46" s="59">
        <f t="shared" si="121"/>
        <v>20.09633333</v>
      </c>
      <c r="AV46" s="14">
        <f t="shared" si="122"/>
        <v>62.80104167</v>
      </c>
      <c r="AW46" s="59">
        <f t="shared" si="123"/>
        <v>19.3677619</v>
      </c>
      <c r="AX46" s="14">
        <f t="shared" si="124"/>
        <v>60.52425595</v>
      </c>
    </row>
    <row r="47" hidden="1" outlineLevel="2">
      <c r="A47" s="90"/>
      <c r="B47" s="92"/>
      <c r="C47" s="93">
        <v>90.0</v>
      </c>
      <c r="E47" s="57">
        <v>3.23</v>
      </c>
      <c r="F47" s="6">
        <v>3000.0</v>
      </c>
      <c r="G47" s="6">
        <v>200.0</v>
      </c>
      <c r="H47" s="6">
        <f t="shared" si="105"/>
        <v>2800</v>
      </c>
      <c r="I47" s="6">
        <v>500.0</v>
      </c>
      <c r="J47" s="6">
        <f t="shared" si="106"/>
        <v>2300</v>
      </c>
      <c r="K47" s="6">
        <f t="shared" si="107"/>
        <v>9690</v>
      </c>
      <c r="M47" s="6">
        <v>50.0</v>
      </c>
      <c r="N47" s="14">
        <f t="shared" si="108"/>
        <v>0.25</v>
      </c>
      <c r="O47" s="6">
        <v>500.0</v>
      </c>
      <c r="P47" s="59">
        <f t="shared" si="109"/>
        <v>0.1785714286</v>
      </c>
      <c r="Q47" s="6">
        <v>100.0</v>
      </c>
      <c r="R47" s="14">
        <f t="shared" si="110"/>
        <v>0.2</v>
      </c>
      <c r="T47" s="6">
        <v>0.4</v>
      </c>
      <c r="U47" s="14">
        <f t="shared" si="111"/>
        <v>500</v>
      </c>
      <c r="V47" s="6">
        <v>1.0</v>
      </c>
      <c r="X47" s="6">
        <v>1050.0</v>
      </c>
      <c r="Y47" s="14">
        <f t="shared" si="112"/>
        <v>0.35</v>
      </c>
      <c r="AA47" s="6">
        <v>100.0</v>
      </c>
      <c r="AB47" s="59">
        <f t="shared" si="113"/>
        <v>0.03333333333</v>
      </c>
      <c r="AC47" s="6">
        <v>100.0</v>
      </c>
      <c r="AD47" s="59">
        <f t="shared" si="114"/>
        <v>0.03333333333</v>
      </c>
      <c r="AE47" s="6">
        <v>1.0</v>
      </c>
      <c r="AF47" s="14">
        <f t="shared" si="115"/>
        <v>0.0003333333333</v>
      </c>
      <c r="AG47" s="6"/>
      <c r="AH47" s="6">
        <v>800.0</v>
      </c>
      <c r="AI47" s="59">
        <f t="shared" si="116"/>
        <v>0.2666666667</v>
      </c>
      <c r="AJ47" s="88">
        <f t="shared" si="117"/>
        <v>4.563666667</v>
      </c>
      <c r="AK47" s="59">
        <f t="shared" si="118"/>
        <v>4.563666667</v>
      </c>
      <c r="AL47" s="59">
        <f t="shared" si="119"/>
        <v>5.292238095</v>
      </c>
      <c r="AM47" s="6">
        <v>32.0</v>
      </c>
      <c r="AO47" s="59">
        <f t="shared" si="120"/>
        <v>4.8</v>
      </c>
      <c r="AQ47" s="6">
        <v>3.13</v>
      </c>
      <c r="AR47" s="6">
        <v>0.02</v>
      </c>
      <c r="AU47" s="59">
        <f t="shared" si="121"/>
        <v>19.48633333</v>
      </c>
      <c r="AV47" s="14">
        <f t="shared" si="122"/>
        <v>60.89479167</v>
      </c>
      <c r="AW47" s="59">
        <f t="shared" si="123"/>
        <v>18.7577619</v>
      </c>
      <c r="AX47" s="14">
        <f t="shared" si="124"/>
        <v>58.61800595</v>
      </c>
    </row>
    <row r="48" hidden="1" outlineLevel="2">
      <c r="A48" s="90"/>
      <c r="B48" s="92"/>
      <c r="C48" s="93">
        <v>120.0</v>
      </c>
      <c r="E48" s="57">
        <v>3.74</v>
      </c>
      <c r="F48" s="6">
        <v>3000.0</v>
      </c>
      <c r="G48" s="6">
        <v>200.0</v>
      </c>
      <c r="H48" s="6">
        <f t="shared" si="105"/>
        <v>2800</v>
      </c>
      <c r="I48" s="6">
        <v>500.0</v>
      </c>
      <c r="J48" s="6">
        <f t="shared" si="106"/>
        <v>2300</v>
      </c>
      <c r="K48" s="6">
        <f t="shared" si="107"/>
        <v>11220</v>
      </c>
      <c r="M48" s="6">
        <v>50.0</v>
      </c>
      <c r="N48" s="14">
        <f t="shared" si="108"/>
        <v>0.25</v>
      </c>
      <c r="O48" s="6">
        <v>500.0</v>
      </c>
      <c r="P48" s="59">
        <f t="shared" si="109"/>
        <v>0.1785714286</v>
      </c>
      <c r="Q48" s="6">
        <v>100.0</v>
      </c>
      <c r="R48" s="14">
        <f t="shared" si="110"/>
        <v>0.2</v>
      </c>
      <c r="T48" s="6">
        <v>0.4</v>
      </c>
      <c r="U48" s="14">
        <f t="shared" si="111"/>
        <v>500</v>
      </c>
      <c r="V48" s="6">
        <v>1.0</v>
      </c>
      <c r="X48" s="6">
        <v>1050.0</v>
      </c>
      <c r="Y48" s="14">
        <f t="shared" si="112"/>
        <v>0.35</v>
      </c>
      <c r="AA48" s="6">
        <v>100.0</v>
      </c>
      <c r="AB48" s="59">
        <f t="shared" si="113"/>
        <v>0.03333333333</v>
      </c>
      <c r="AC48" s="6">
        <v>100.0</v>
      </c>
      <c r="AD48" s="59">
        <f t="shared" si="114"/>
        <v>0.03333333333</v>
      </c>
      <c r="AE48" s="6">
        <v>1.0</v>
      </c>
      <c r="AF48" s="14">
        <f t="shared" si="115"/>
        <v>0.0003333333333</v>
      </c>
      <c r="AG48" s="6"/>
      <c r="AH48" s="6">
        <v>800.0</v>
      </c>
      <c r="AI48" s="59">
        <f t="shared" si="116"/>
        <v>0.2666666667</v>
      </c>
      <c r="AJ48" s="88">
        <f t="shared" si="117"/>
        <v>5.073666667</v>
      </c>
      <c r="AK48" s="59">
        <f t="shared" si="118"/>
        <v>5.073666667</v>
      </c>
      <c r="AL48" s="59">
        <f t="shared" si="119"/>
        <v>5.802238095</v>
      </c>
      <c r="AM48" s="6">
        <v>32.0</v>
      </c>
      <c r="AO48" s="59">
        <f t="shared" si="120"/>
        <v>4.8</v>
      </c>
      <c r="AQ48" s="6">
        <v>3.13</v>
      </c>
      <c r="AR48" s="6">
        <v>0.02</v>
      </c>
      <c r="AU48" s="59">
        <f t="shared" si="121"/>
        <v>18.97633333</v>
      </c>
      <c r="AV48" s="14">
        <f t="shared" si="122"/>
        <v>59.30104167</v>
      </c>
      <c r="AW48" s="59">
        <f t="shared" si="123"/>
        <v>18.2477619</v>
      </c>
      <c r="AX48" s="14">
        <f t="shared" si="124"/>
        <v>57.02425595</v>
      </c>
    </row>
    <row r="49" hidden="1" outlineLevel="2">
      <c r="A49" s="90"/>
      <c r="B49" s="92"/>
      <c r="C49" s="94">
        <v>180.0</v>
      </c>
      <c r="E49" s="95">
        <v>4.86</v>
      </c>
      <c r="F49" s="6">
        <v>3000.0</v>
      </c>
      <c r="G49" s="6">
        <v>200.0</v>
      </c>
      <c r="H49" s="6">
        <f t="shared" si="105"/>
        <v>2800</v>
      </c>
      <c r="I49" s="6">
        <v>500.0</v>
      </c>
      <c r="J49" s="6">
        <f t="shared" si="106"/>
        <v>2300</v>
      </c>
      <c r="K49" s="6">
        <f t="shared" si="107"/>
        <v>14580</v>
      </c>
      <c r="M49" s="6">
        <v>50.0</v>
      </c>
      <c r="N49" s="14">
        <f t="shared" si="108"/>
        <v>0.25</v>
      </c>
      <c r="O49" s="6">
        <v>500.0</v>
      </c>
      <c r="P49" s="59">
        <f t="shared" si="109"/>
        <v>0.1785714286</v>
      </c>
      <c r="Q49" s="6">
        <v>100.0</v>
      </c>
      <c r="R49" s="14">
        <f t="shared" si="110"/>
        <v>0.2</v>
      </c>
      <c r="T49" s="6">
        <v>0.4</v>
      </c>
      <c r="U49" s="14">
        <f t="shared" si="111"/>
        <v>500</v>
      </c>
      <c r="V49" s="6">
        <v>1.0</v>
      </c>
      <c r="X49" s="6">
        <v>1050.0</v>
      </c>
      <c r="Y49" s="14">
        <f t="shared" si="112"/>
        <v>0.35</v>
      </c>
      <c r="AA49" s="6">
        <v>100.0</v>
      </c>
      <c r="AB49" s="59">
        <f t="shared" si="113"/>
        <v>0.03333333333</v>
      </c>
      <c r="AC49" s="6">
        <v>100.0</v>
      </c>
      <c r="AD49" s="59">
        <f t="shared" si="114"/>
        <v>0.03333333333</v>
      </c>
      <c r="AE49" s="6">
        <v>1.0</v>
      </c>
      <c r="AF49" s="14">
        <f t="shared" si="115"/>
        <v>0.0003333333333</v>
      </c>
      <c r="AG49" s="6"/>
      <c r="AH49" s="6">
        <v>800.0</v>
      </c>
      <c r="AI49" s="59">
        <f t="shared" si="116"/>
        <v>0.2666666667</v>
      </c>
      <c r="AJ49" s="88">
        <f t="shared" si="117"/>
        <v>6.193666667</v>
      </c>
      <c r="AK49" s="59">
        <f t="shared" si="118"/>
        <v>6.193666667</v>
      </c>
      <c r="AL49" s="59">
        <f t="shared" si="119"/>
        <v>6.922238095</v>
      </c>
      <c r="AM49" s="6">
        <v>29.0</v>
      </c>
      <c r="AO49" s="59">
        <f t="shared" si="120"/>
        <v>4.35</v>
      </c>
      <c r="AQ49" s="6">
        <v>3.13</v>
      </c>
      <c r="AR49" s="6">
        <v>0.02</v>
      </c>
      <c r="AU49" s="59">
        <f t="shared" si="121"/>
        <v>15.30633333</v>
      </c>
      <c r="AV49" s="14">
        <f t="shared" si="122"/>
        <v>52.78045977</v>
      </c>
      <c r="AW49" s="59">
        <f t="shared" si="123"/>
        <v>14.5777619</v>
      </c>
      <c r="AX49" s="14">
        <f t="shared" si="124"/>
        <v>50.2681445</v>
      </c>
    </row>
    <row r="50" hidden="1" outlineLevel="1">
      <c r="A50" s="90"/>
      <c r="B50" s="92" t="s">
        <v>197</v>
      </c>
      <c r="C50" s="90"/>
      <c r="P50" s="59"/>
      <c r="AB50" s="59"/>
      <c r="AD50" s="59"/>
      <c r="AI50" s="59"/>
      <c r="AJ50" s="91"/>
      <c r="AK50" s="59"/>
      <c r="AO50" s="59"/>
    </row>
    <row r="51" hidden="1" outlineLevel="2">
      <c r="A51" s="90"/>
      <c r="B51" s="92"/>
      <c r="C51" s="93">
        <v>30.0</v>
      </c>
      <c r="E51" s="57">
        <v>2.48</v>
      </c>
      <c r="F51" s="6">
        <v>3000.0</v>
      </c>
      <c r="G51" s="6">
        <v>200.0</v>
      </c>
      <c r="H51" s="6">
        <f t="shared" ref="H51:H55" si="125">F51-G51</f>
        <v>2800</v>
      </c>
      <c r="I51" s="6">
        <v>500.0</v>
      </c>
      <c r="J51" s="6">
        <f t="shared" ref="J51:J55" si="126">H51-I51</f>
        <v>2300</v>
      </c>
      <c r="K51" s="6">
        <f t="shared" ref="K51:K55" si="127">F51*E51</f>
        <v>7440</v>
      </c>
      <c r="M51" s="6">
        <v>50.0</v>
      </c>
      <c r="N51" s="14">
        <f t="shared" ref="N51:N55" si="128">M51/G51</f>
        <v>0.25</v>
      </c>
      <c r="O51" s="6">
        <v>500.0</v>
      </c>
      <c r="P51" s="59">
        <f t="shared" ref="P51:P55" si="129">O51/H51</f>
        <v>0.1785714286</v>
      </c>
      <c r="Q51" s="6">
        <v>100.0</v>
      </c>
      <c r="R51" s="14">
        <f t="shared" ref="R51:R55" si="130">Q51/I51</f>
        <v>0.2</v>
      </c>
      <c r="T51" s="6">
        <v>0.4</v>
      </c>
      <c r="U51" s="14">
        <f t="shared" ref="U51:U55" si="131">V51*I51</f>
        <v>500</v>
      </c>
      <c r="V51" s="6">
        <v>1.0</v>
      </c>
      <c r="X51" s="6">
        <v>1050.0</v>
      </c>
      <c r="Y51" s="14">
        <f t="shared" ref="Y51:Y55" si="132">X51/F51</f>
        <v>0.35</v>
      </c>
      <c r="AA51" s="6">
        <v>100.0</v>
      </c>
      <c r="AB51" s="59">
        <f t="shared" ref="AB51:AB55" si="133">AA51/F51</f>
        <v>0.03333333333</v>
      </c>
      <c r="AC51" s="6">
        <v>100.0</v>
      </c>
      <c r="AD51" s="59">
        <f t="shared" ref="AD51:AD55" si="134">AC51/F51</f>
        <v>0.03333333333</v>
      </c>
      <c r="AE51" s="6">
        <v>1.0</v>
      </c>
      <c r="AF51" s="14">
        <f t="shared" ref="AF51:AF55" si="135">AE51/F51</f>
        <v>0.0003333333333</v>
      </c>
      <c r="AG51" s="6"/>
      <c r="AH51" s="6">
        <v>850.0</v>
      </c>
      <c r="AI51" s="59">
        <f t="shared" ref="AI51:AI55" si="136">AH51/F51</f>
        <v>0.2833333333</v>
      </c>
      <c r="AJ51" s="88">
        <f t="shared" ref="AJ51:AJ55" si="137">AK51</f>
        <v>3.830333333</v>
      </c>
      <c r="AK51" s="59">
        <f t="shared" ref="AK51:AK55" si="138">E51+N51+T51+Y51+AB51+AD51+AF51+AI51</f>
        <v>3.830333333</v>
      </c>
      <c r="AL51" s="59">
        <f t="shared" ref="AL51:AL55" si="139">E51+P51+R51+V51+Y51+AB51+AD51+AF51+AI51</f>
        <v>4.558904762</v>
      </c>
      <c r="AM51" s="6">
        <v>27.0</v>
      </c>
      <c r="AO51" s="59">
        <f t="shared" ref="AO51:AO55" si="140">AM51*0.15</f>
        <v>4.05</v>
      </c>
      <c r="AQ51" s="6">
        <v>3.13</v>
      </c>
      <c r="AR51" s="6">
        <v>0.02</v>
      </c>
      <c r="AU51" s="59">
        <f t="shared" ref="AU51:AU55" si="141">AM51-AK51-AO51-AQ51-AR51</f>
        <v>15.96966667</v>
      </c>
      <c r="AV51" s="14">
        <f t="shared" ref="AV51:AV55" si="142">(AU51/AM51)*100</f>
        <v>59.14691358</v>
      </c>
      <c r="AW51" s="59">
        <f t="shared" ref="AW51:AW55" si="143">AM51-AL51-AO51-AQ51-AR51</f>
        <v>15.24109524</v>
      </c>
      <c r="AX51" s="14">
        <f t="shared" ref="AX51:AX55" si="144">(AW51/AM51)*100</f>
        <v>56.44850088</v>
      </c>
    </row>
    <row r="52" hidden="1" outlineLevel="2">
      <c r="A52" s="90"/>
      <c r="B52" s="92"/>
      <c r="C52" s="93">
        <v>60.0</v>
      </c>
      <c r="E52" s="57">
        <v>2.62</v>
      </c>
      <c r="F52" s="6">
        <v>3000.0</v>
      </c>
      <c r="G52" s="6">
        <v>200.0</v>
      </c>
      <c r="H52" s="6">
        <f t="shared" si="125"/>
        <v>2800</v>
      </c>
      <c r="I52" s="6">
        <v>500.0</v>
      </c>
      <c r="J52" s="6">
        <f t="shared" si="126"/>
        <v>2300</v>
      </c>
      <c r="K52" s="6">
        <f t="shared" si="127"/>
        <v>7860</v>
      </c>
      <c r="M52" s="6">
        <v>50.0</v>
      </c>
      <c r="N52" s="14">
        <f t="shared" si="128"/>
        <v>0.25</v>
      </c>
      <c r="O52" s="6">
        <v>500.0</v>
      </c>
      <c r="P52" s="59">
        <f t="shared" si="129"/>
        <v>0.1785714286</v>
      </c>
      <c r="Q52" s="6">
        <v>100.0</v>
      </c>
      <c r="R52" s="14">
        <f t="shared" si="130"/>
        <v>0.2</v>
      </c>
      <c r="T52" s="6">
        <v>0.4</v>
      </c>
      <c r="U52" s="14">
        <f t="shared" si="131"/>
        <v>500</v>
      </c>
      <c r="V52" s="6">
        <v>1.0</v>
      </c>
      <c r="X52" s="6">
        <v>1050.0</v>
      </c>
      <c r="Y52" s="14">
        <f t="shared" si="132"/>
        <v>0.35</v>
      </c>
      <c r="AA52" s="6">
        <v>100.0</v>
      </c>
      <c r="AB52" s="59">
        <f t="shared" si="133"/>
        <v>0.03333333333</v>
      </c>
      <c r="AC52" s="6">
        <v>100.0</v>
      </c>
      <c r="AD52" s="59">
        <f t="shared" si="134"/>
        <v>0.03333333333</v>
      </c>
      <c r="AE52" s="6">
        <v>1.0</v>
      </c>
      <c r="AF52" s="14">
        <f t="shared" si="135"/>
        <v>0.0003333333333</v>
      </c>
      <c r="AG52" s="6"/>
      <c r="AH52" s="6">
        <v>850.0</v>
      </c>
      <c r="AI52" s="59">
        <f t="shared" si="136"/>
        <v>0.2833333333</v>
      </c>
      <c r="AJ52" s="88">
        <f t="shared" si="137"/>
        <v>3.970333333</v>
      </c>
      <c r="AK52" s="59">
        <f t="shared" si="138"/>
        <v>3.970333333</v>
      </c>
      <c r="AL52" s="59">
        <f t="shared" si="139"/>
        <v>4.698904762</v>
      </c>
      <c r="AM52" s="6">
        <v>27.0</v>
      </c>
      <c r="AO52" s="59">
        <f t="shared" si="140"/>
        <v>4.05</v>
      </c>
      <c r="AQ52" s="6">
        <v>3.13</v>
      </c>
      <c r="AR52" s="6">
        <v>0.02</v>
      </c>
      <c r="AU52" s="59">
        <f t="shared" si="141"/>
        <v>15.82966667</v>
      </c>
      <c r="AV52" s="14">
        <f t="shared" si="142"/>
        <v>58.62839506</v>
      </c>
      <c r="AW52" s="59">
        <f t="shared" si="143"/>
        <v>15.10109524</v>
      </c>
      <c r="AX52" s="14">
        <f t="shared" si="144"/>
        <v>55.92998236</v>
      </c>
    </row>
    <row r="53" hidden="1" outlineLevel="2">
      <c r="A53" s="90"/>
      <c r="B53" s="92"/>
      <c r="C53" s="93">
        <v>90.0</v>
      </c>
      <c r="E53" s="57">
        <v>3.23</v>
      </c>
      <c r="F53" s="6">
        <v>3000.0</v>
      </c>
      <c r="G53" s="6">
        <v>200.0</v>
      </c>
      <c r="H53" s="6">
        <f t="shared" si="125"/>
        <v>2800</v>
      </c>
      <c r="I53" s="6">
        <v>500.0</v>
      </c>
      <c r="J53" s="6">
        <f t="shared" si="126"/>
        <v>2300</v>
      </c>
      <c r="K53" s="6">
        <f t="shared" si="127"/>
        <v>9690</v>
      </c>
      <c r="M53" s="6">
        <v>50.0</v>
      </c>
      <c r="N53" s="14">
        <f t="shared" si="128"/>
        <v>0.25</v>
      </c>
      <c r="O53" s="6">
        <v>500.0</v>
      </c>
      <c r="P53" s="59">
        <f t="shared" si="129"/>
        <v>0.1785714286</v>
      </c>
      <c r="Q53" s="6">
        <v>100.0</v>
      </c>
      <c r="R53" s="14">
        <f t="shared" si="130"/>
        <v>0.2</v>
      </c>
      <c r="T53" s="6">
        <v>0.4</v>
      </c>
      <c r="U53" s="14">
        <f t="shared" si="131"/>
        <v>500</v>
      </c>
      <c r="V53" s="6">
        <v>1.0</v>
      </c>
      <c r="X53" s="6">
        <v>1050.0</v>
      </c>
      <c r="Y53" s="14">
        <f t="shared" si="132"/>
        <v>0.35</v>
      </c>
      <c r="AA53" s="6">
        <v>100.0</v>
      </c>
      <c r="AB53" s="59">
        <f t="shared" si="133"/>
        <v>0.03333333333</v>
      </c>
      <c r="AC53" s="6">
        <v>100.0</v>
      </c>
      <c r="AD53" s="59">
        <f t="shared" si="134"/>
        <v>0.03333333333</v>
      </c>
      <c r="AE53" s="6">
        <v>1.0</v>
      </c>
      <c r="AF53" s="14">
        <f t="shared" si="135"/>
        <v>0.0003333333333</v>
      </c>
      <c r="AG53" s="6"/>
      <c r="AH53" s="6">
        <v>850.0</v>
      </c>
      <c r="AI53" s="59">
        <f t="shared" si="136"/>
        <v>0.2833333333</v>
      </c>
      <c r="AJ53" s="88">
        <f t="shared" si="137"/>
        <v>4.580333333</v>
      </c>
      <c r="AK53" s="59">
        <f t="shared" si="138"/>
        <v>4.580333333</v>
      </c>
      <c r="AL53" s="59">
        <f t="shared" si="139"/>
        <v>5.308904762</v>
      </c>
      <c r="AM53" s="6">
        <v>27.0</v>
      </c>
      <c r="AO53" s="59">
        <f t="shared" si="140"/>
        <v>4.05</v>
      </c>
      <c r="AQ53" s="6">
        <v>3.13</v>
      </c>
      <c r="AR53" s="6">
        <v>0.02</v>
      </c>
      <c r="AU53" s="59">
        <f t="shared" si="141"/>
        <v>15.21966667</v>
      </c>
      <c r="AV53" s="14">
        <f t="shared" si="142"/>
        <v>56.3691358</v>
      </c>
      <c r="AW53" s="59">
        <f t="shared" si="143"/>
        <v>14.49109524</v>
      </c>
      <c r="AX53" s="14">
        <f t="shared" si="144"/>
        <v>53.6707231</v>
      </c>
    </row>
    <row r="54" hidden="1" outlineLevel="2">
      <c r="A54" s="90"/>
      <c r="B54" s="92"/>
      <c r="C54" s="93">
        <v>120.0</v>
      </c>
      <c r="E54" s="57">
        <v>3.74</v>
      </c>
      <c r="F54" s="6">
        <v>3000.0</v>
      </c>
      <c r="G54" s="6">
        <v>200.0</v>
      </c>
      <c r="H54" s="6">
        <f t="shared" si="125"/>
        <v>2800</v>
      </c>
      <c r="I54" s="6">
        <v>500.0</v>
      </c>
      <c r="J54" s="6">
        <f t="shared" si="126"/>
        <v>2300</v>
      </c>
      <c r="K54" s="6">
        <f t="shared" si="127"/>
        <v>11220</v>
      </c>
      <c r="M54" s="6">
        <v>50.0</v>
      </c>
      <c r="N54" s="14">
        <f t="shared" si="128"/>
        <v>0.25</v>
      </c>
      <c r="O54" s="6">
        <v>500.0</v>
      </c>
      <c r="P54" s="59">
        <f t="shared" si="129"/>
        <v>0.1785714286</v>
      </c>
      <c r="Q54" s="6">
        <v>100.0</v>
      </c>
      <c r="R54" s="14">
        <f t="shared" si="130"/>
        <v>0.2</v>
      </c>
      <c r="T54" s="6">
        <v>0.4</v>
      </c>
      <c r="U54" s="14">
        <f t="shared" si="131"/>
        <v>500</v>
      </c>
      <c r="V54" s="6">
        <v>1.0</v>
      </c>
      <c r="X54" s="6">
        <v>1050.0</v>
      </c>
      <c r="Y54" s="14">
        <f t="shared" si="132"/>
        <v>0.35</v>
      </c>
      <c r="AA54" s="6">
        <v>100.0</v>
      </c>
      <c r="AB54" s="59">
        <f t="shared" si="133"/>
        <v>0.03333333333</v>
      </c>
      <c r="AC54" s="6">
        <v>100.0</v>
      </c>
      <c r="AD54" s="59">
        <f t="shared" si="134"/>
        <v>0.03333333333</v>
      </c>
      <c r="AE54" s="6">
        <v>1.0</v>
      </c>
      <c r="AF54" s="14">
        <f t="shared" si="135"/>
        <v>0.0003333333333</v>
      </c>
      <c r="AG54" s="6"/>
      <c r="AH54" s="6">
        <v>850.0</v>
      </c>
      <c r="AI54" s="59">
        <f t="shared" si="136"/>
        <v>0.2833333333</v>
      </c>
      <c r="AJ54" s="88">
        <f t="shared" si="137"/>
        <v>5.090333333</v>
      </c>
      <c r="AK54" s="59">
        <f t="shared" si="138"/>
        <v>5.090333333</v>
      </c>
      <c r="AL54" s="59">
        <f t="shared" si="139"/>
        <v>5.818904762</v>
      </c>
      <c r="AM54" s="6">
        <v>27.0</v>
      </c>
      <c r="AO54" s="59">
        <f t="shared" si="140"/>
        <v>4.05</v>
      </c>
      <c r="AQ54" s="6">
        <v>3.13</v>
      </c>
      <c r="AR54" s="6">
        <v>0.02</v>
      </c>
      <c r="AU54" s="59">
        <f t="shared" si="141"/>
        <v>14.70966667</v>
      </c>
      <c r="AV54" s="14">
        <f t="shared" si="142"/>
        <v>54.48024691</v>
      </c>
      <c r="AW54" s="59">
        <f t="shared" si="143"/>
        <v>13.98109524</v>
      </c>
      <c r="AX54" s="14">
        <f t="shared" si="144"/>
        <v>51.78183422</v>
      </c>
    </row>
    <row r="55" hidden="1" outlineLevel="2">
      <c r="A55" s="90"/>
      <c r="B55" s="92"/>
      <c r="C55" s="94">
        <v>180.0</v>
      </c>
      <c r="E55" s="95">
        <v>4.86</v>
      </c>
      <c r="F55" s="6">
        <v>3000.0</v>
      </c>
      <c r="G55" s="6">
        <v>200.0</v>
      </c>
      <c r="H55" s="6">
        <f t="shared" si="125"/>
        <v>2800</v>
      </c>
      <c r="I55" s="6">
        <v>500.0</v>
      </c>
      <c r="J55" s="6">
        <f t="shared" si="126"/>
        <v>2300</v>
      </c>
      <c r="K55" s="6">
        <f t="shared" si="127"/>
        <v>14580</v>
      </c>
      <c r="M55" s="6">
        <v>50.0</v>
      </c>
      <c r="N55" s="14">
        <f t="shared" si="128"/>
        <v>0.25</v>
      </c>
      <c r="O55" s="6">
        <v>500.0</v>
      </c>
      <c r="P55" s="59">
        <f t="shared" si="129"/>
        <v>0.1785714286</v>
      </c>
      <c r="Q55" s="6">
        <v>100.0</v>
      </c>
      <c r="R55" s="14">
        <f t="shared" si="130"/>
        <v>0.2</v>
      </c>
      <c r="T55" s="6">
        <v>0.4</v>
      </c>
      <c r="U55" s="14">
        <f t="shared" si="131"/>
        <v>500</v>
      </c>
      <c r="V55" s="6">
        <v>1.0</v>
      </c>
      <c r="X55" s="6">
        <v>1050.0</v>
      </c>
      <c r="Y55" s="14">
        <f t="shared" si="132"/>
        <v>0.35</v>
      </c>
      <c r="AA55" s="6">
        <v>100.0</v>
      </c>
      <c r="AB55" s="59">
        <f t="shared" si="133"/>
        <v>0.03333333333</v>
      </c>
      <c r="AC55" s="6">
        <v>100.0</v>
      </c>
      <c r="AD55" s="59">
        <f t="shared" si="134"/>
        <v>0.03333333333</v>
      </c>
      <c r="AE55" s="6">
        <v>1.0</v>
      </c>
      <c r="AF55" s="14">
        <f t="shared" si="135"/>
        <v>0.0003333333333</v>
      </c>
      <c r="AG55" s="6"/>
      <c r="AH55" s="6">
        <v>850.0</v>
      </c>
      <c r="AI55" s="59">
        <f t="shared" si="136"/>
        <v>0.2833333333</v>
      </c>
      <c r="AJ55" s="88">
        <f t="shared" si="137"/>
        <v>6.210333333</v>
      </c>
      <c r="AK55" s="59">
        <f t="shared" si="138"/>
        <v>6.210333333</v>
      </c>
      <c r="AL55" s="59">
        <f t="shared" si="139"/>
        <v>6.938904762</v>
      </c>
      <c r="AM55" s="6">
        <v>30.0</v>
      </c>
      <c r="AO55" s="59">
        <f t="shared" si="140"/>
        <v>4.5</v>
      </c>
      <c r="AQ55" s="6">
        <v>3.13</v>
      </c>
      <c r="AR55" s="6">
        <v>0.02</v>
      </c>
      <c r="AU55" s="59">
        <f t="shared" si="141"/>
        <v>16.13966667</v>
      </c>
      <c r="AV55" s="14">
        <f t="shared" si="142"/>
        <v>53.79888889</v>
      </c>
      <c r="AW55" s="59">
        <f t="shared" si="143"/>
        <v>15.41109524</v>
      </c>
      <c r="AX55" s="14">
        <f t="shared" si="144"/>
        <v>51.37031746</v>
      </c>
    </row>
    <row r="56" collapsed="1">
      <c r="A56" s="89" t="s">
        <v>199</v>
      </c>
      <c r="B56" s="90"/>
      <c r="C56" s="90"/>
      <c r="P56" s="59"/>
      <c r="AB56" s="59"/>
      <c r="AD56" s="59"/>
      <c r="AI56" s="59"/>
      <c r="AJ56" s="91"/>
      <c r="AK56" s="59"/>
      <c r="AO56" s="59"/>
    </row>
    <row r="57" hidden="1" outlineLevel="1">
      <c r="A57" s="90"/>
      <c r="B57" s="92" t="s">
        <v>194</v>
      </c>
      <c r="P57" s="59"/>
      <c r="AB57" s="59"/>
      <c r="AD57" s="59"/>
      <c r="AI57" s="59"/>
      <c r="AJ57" s="91"/>
      <c r="AK57" s="59"/>
      <c r="AO57" s="59"/>
    </row>
    <row r="58" hidden="1" outlineLevel="2">
      <c r="A58" s="90"/>
      <c r="B58" s="92"/>
      <c r="C58" s="93">
        <v>30.0</v>
      </c>
      <c r="E58" s="57">
        <v>2.48</v>
      </c>
      <c r="F58" s="6">
        <v>3000.0</v>
      </c>
      <c r="G58" s="6">
        <v>200.0</v>
      </c>
      <c r="H58" s="6">
        <f t="shared" ref="H58:H62" si="145">F58-G58</f>
        <v>2800</v>
      </c>
      <c r="I58" s="6">
        <v>500.0</v>
      </c>
      <c r="J58" s="6">
        <f t="shared" ref="J58:J62" si="146">H58-I58</f>
        <v>2300</v>
      </c>
      <c r="K58" s="6">
        <f t="shared" ref="K58:K62" si="147">F58*E58</f>
        <v>7440</v>
      </c>
      <c r="M58" s="6">
        <v>50.0</v>
      </c>
      <c r="N58" s="14">
        <f t="shared" ref="N58:N62" si="148">M58/G58</f>
        <v>0.25</v>
      </c>
      <c r="O58" s="6">
        <v>500.0</v>
      </c>
      <c r="P58" s="59">
        <f t="shared" ref="P58:P62" si="149">O58/H58</f>
        <v>0.1785714286</v>
      </c>
      <c r="Q58" s="6">
        <v>100.0</v>
      </c>
      <c r="R58" s="14">
        <f t="shared" ref="R58:R62" si="150">Q58/I58</f>
        <v>0.2</v>
      </c>
      <c r="T58" s="6">
        <v>0.4</v>
      </c>
      <c r="U58" s="14">
        <f t="shared" ref="U58:U62" si="151">V58*I58</f>
        <v>500</v>
      </c>
      <c r="V58" s="6">
        <v>1.0</v>
      </c>
      <c r="X58" s="6">
        <v>1050.0</v>
      </c>
      <c r="Y58" s="14">
        <f t="shared" ref="Y58:Y62" si="152">X58/F58</f>
        <v>0.35</v>
      </c>
      <c r="AA58" s="6">
        <v>100.0</v>
      </c>
      <c r="AB58" s="59">
        <f t="shared" ref="AB58:AB62" si="153">AA58/F58</f>
        <v>0.03333333333</v>
      </c>
      <c r="AC58" s="6">
        <v>100.0</v>
      </c>
      <c r="AD58" s="59">
        <f t="shared" ref="AD58:AD62" si="154">AC58/F58</f>
        <v>0.03333333333</v>
      </c>
      <c r="AE58" s="6">
        <v>1.0</v>
      </c>
      <c r="AF58" s="14">
        <f t="shared" ref="AF58:AF62" si="155">AE58/F58</f>
        <v>0.0003333333333</v>
      </c>
      <c r="AG58" s="6"/>
      <c r="AH58" s="6">
        <v>550.0</v>
      </c>
      <c r="AI58" s="59">
        <f t="shared" ref="AI58:AI62" si="156">AH58/F58</f>
        <v>0.1833333333</v>
      </c>
      <c r="AJ58" s="88">
        <f t="shared" ref="AJ58:AJ62" si="157">AK58</f>
        <v>3.730333333</v>
      </c>
      <c r="AK58" s="59">
        <f t="shared" ref="AK58:AK62" si="158">E58+N58+T58+Y58+AB58+AD58+AF58+AI58</f>
        <v>3.730333333</v>
      </c>
      <c r="AL58" s="59">
        <f t="shared" ref="AL58:AL62" si="159">E58+P58+R58+V58+Y58+AB58+AD58+AF58+AI58</f>
        <v>4.458904762</v>
      </c>
      <c r="AM58" s="6">
        <v>19.0</v>
      </c>
      <c r="AO58" s="59">
        <f t="shared" ref="AO58:AO62" si="160">AM58*0.15</f>
        <v>2.85</v>
      </c>
      <c r="AQ58" s="6">
        <v>3.13</v>
      </c>
      <c r="AR58" s="6">
        <v>0.02</v>
      </c>
      <c r="AU58" s="59">
        <f t="shared" ref="AU58:AU62" si="161">AM58-AK58-AO58-AQ58-AR58</f>
        <v>9.269666667</v>
      </c>
      <c r="AV58" s="14">
        <f t="shared" ref="AV58:AV62" si="162">(AU58/AM58)*100</f>
        <v>48.7877193</v>
      </c>
      <c r="AW58" s="59">
        <f t="shared" ref="AW58:AW62" si="163">AM58-AL58-AO58-AQ58-AR58</f>
        <v>8.541095238</v>
      </c>
      <c r="AX58" s="14">
        <f t="shared" ref="AX58:AX62" si="164">(AW58/AM58)*100</f>
        <v>44.95313283</v>
      </c>
    </row>
    <row r="59" hidden="1" outlineLevel="2">
      <c r="A59" s="90"/>
      <c r="B59" s="92"/>
      <c r="C59" s="93">
        <v>60.0</v>
      </c>
      <c r="E59" s="57">
        <v>2.57</v>
      </c>
      <c r="F59" s="6">
        <v>3000.0</v>
      </c>
      <c r="G59" s="6">
        <v>200.0</v>
      </c>
      <c r="H59" s="6">
        <f t="shared" si="145"/>
        <v>2800</v>
      </c>
      <c r="I59" s="6">
        <v>500.0</v>
      </c>
      <c r="J59" s="6">
        <f t="shared" si="146"/>
        <v>2300</v>
      </c>
      <c r="K59" s="6">
        <f t="shared" si="147"/>
        <v>7710</v>
      </c>
      <c r="M59" s="6">
        <v>50.0</v>
      </c>
      <c r="N59" s="14">
        <f t="shared" si="148"/>
        <v>0.25</v>
      </c>
      <c r="O59" s="6">
        <v>500.0</v>
      </c>
      <c r="P59" s="59">
        <f t="shared" si="149"/>
        <v>0.1785714286</v>
      </c>
      <c r="Q59" s="6">
        <v>100.0</v>
      </c>
      <c r="R59" s="14">
        <f t="shared" si="150"/>
        <v>0.2</v>
      </c>
      <c r="T59" s="6">
        <v>0.4</v>
      </c>
      <c r="U59" s="14">
        <f t="shared" si="151"/>
        <v>500</v>
      </c>
      <c r="V59" s="6">
        <v>1.0</v>
      </c>
      <c r="X59" s="6">
        <v>1050.0</v>
      </c>
      <c r="Y59" s="14">
        <f t="shared" si="152"/>
        <v>0.35</v>
      </c>
      <c r="AA59" s="6">
        <v>100.0</v>
      </c>
      <c r="AB59" s="59">
        <f t="shared" si="153"/>
        <v>0.03333333333</v>
      </c>
      <c r="AC59" s="6">
        <v>100.0</v>
      </c>
      <c r="AD59" s="59">
        <f t="shared" si="154"/>
        <v>0.03333333333</v>
      </c>
      <c r="AE59" s="6">
        <v>1.0</v>
      </c>
      <c r="AF59" s="14">
        <f t="shared" si="155"/>
        <v>0.0003333333333</v>
      </c>
      <c r="AG59" s="6"/>
      <c r="AH59" s="6">
        <v>550.0</v>
      </c>
      <c r="AI59" s="59">
        <f t="shared" si="156"/>
        <v>0.1833333333</v>
      </c>
      <c r="AJ59" s="88">
        <f t="shared" si="157"/>
        <v>3.820333333</v>
      </c>
      <c r="AK59" s="59">
        <f t="shared" si="158"/>
        <v>3.820333333</v>
      </c>
      <c r="AL59" s="59">
        <f t="shared" si="159"/>
        <v>4.548904762</v>
      </c>
      <c r="AM59" s="6">
        <v>19.0</v>
      </c>
      <c r="AO59" s="59">
        <f t="shared" si="160"/>
        <v>2.85</v>
      </c>
      <c r="AQ59" s="6">
        <v>3.13</v>
      </c>
      <c r="AR59" s="6">
        <v>0.02</v>
      </c>
      <c r="AU59" s="59">
        <f t="shared" si="161"/>
        <v>9.179666667</v>
      </c>
      <c r="AV59" s="14">
        <f t="shared" si="162"/>
        <v>48.31403509</v>
      </c>
      <c r="AW59" s="59">
        <f t="shared" si="163"/>
        <v>8.451095238</v>
      </c>
      <c r="AX59" s="14">
        <f t="shared" si="164"/>
        <v>44.47944862</v>
      </c>
    </row>
    <row r="60" hidden="1" outlineLevel="2">
      <c r="A60" s="90"/>
      <c r="B60" s="92"/>
      <c r="C60" s="93">
        <v>90.0</v>
      </c>
      <c r="E60" s="57">
        <v>3.08</v>
      </c>
      <c r="F60" s="6">
        <v>3000.0</v>
      </c>
      <c r="G60" s="6">
        <v>200.0</v>
      </c>
      <c r="H60" s="6">
        <f t="shared" si="145"/>
        <v>2800</v>
      </c>
      <c r="I60" s="6">
        <v>500.0</v>
      </c>
      <c r="J60" s="6">
        <f t="shared" si="146"/>
        <v>2300</v>
      </c>
      <c r="K60" s="6">
        <f t="shared" si="147"/>
        <v>9240</v>
      </c>
      <c r="M60" s="6">
        <v>50.0</v>
      </c>
      <c r="N60" s="14">
        <f t="shared" si="148"/>
        <v>0.25</v>
      </c>
      <c r="O60" s="6">
        <v>500.0</v>
      </c>
      <c r="P60" s="59">
        <f t="shared" si="149"/>
        <v>0.1785714286</v>
      </c>
      <c r="Q60" s="6">
        <v>100.0</v>
      </c>
      <c r="R60" s="14">
        <f t="shared" si="150"/>
        <v>0.2</v>
      </c>
      <c r="T60" s="6">
        <v>0.4</v>
      </c>
      <c r="U60" s="14">
        <f t="shared" si="151"/>
        <v>500</v>
      </c>
      <c r="V60" s="6">
        <v>1.0</v>
      </c>
      <c r="X60" s="6">
        <v>1050.0</v>
      </c>
      <c r="Y60" s="14">
        <f t="shared" si="152"/>
        <v>0.35</v>
      </c>
      <c r="AA60" s="6">
        <v>100.0</v>
      </c>
      <c r="AB60" s="59">
        <f t="shared" si="153"/>
        <v>0.03333333333</v>
      </c>
      <c r="AC60" s="6">
        <v>100.0</v>
      </c>
      <c r="AD60" s="59">
        <f t="shared" si="154"/>
        <v>0.03333333333</v>
      </c>
      <c r="AE60" s="6">
        <v>1.0</v>
      </c>
      <c r="AF60" s="14">
        <f t="shared" si="155"/>
        <v>0.0003333333333</v>
      </c>
      <c r="AG60" s="6"/>
      <c r="AH60" s="6">
        <v>550.0</v>
      </c>
      <c r="AI60" s="59">
        <f t="shared" si="156"/>
        <v>0.1833333333</v>
      </c>
      <c r="AJ60" s="88">
        <f t="shared" si="157"/>
        <v>4.330333333</v>
      </c>
      <c r="AK60" s="59">
        <f t="shared" si="158"/>
        <v>4.330333333</v>
      </c>
      <c r="AL60" s="59">
        <f t="shared" si="159"/>
        <v>5.058904762</v>
      </c>
      <c r="AM60" s="6">
        <v>19.0</v>
      </c>
      <c r="AO60" s="59">
        <f t="shared" si="160"/>
        <v>2.85</v>
      </c>
      <c r="AQ60" s="6">
        <v>3.13</v>
      </c>
      <c r="AR60" s="6">
        <v>0.02</v>
      </c>
      <c r="AU60" s="59">
        <f t="shared" si="161"/>
        <v>8.669666667</v>
      </c>
      <c r="AV60" s="14">
        <f t="shared" si="162"/>
        <v>45.62982456</v>
      </c>
      <c r="AW60" s="59">
        <f t="shared" si="163"/>
        <v>7.941095238</v>
      </c>
      <c r="AX60" s="14">
        <f t="shared" si="164"/>
        <v>41.7952381</v>
      </c>
    </row>
    <row r="61" hidden="1" outlineLevel="2">
      <c r="A61" s="90"/>
      <c r="B61" s="92"/>
      <c r="C61" s="93">
        <v>120.0</v>
      </c>
      <c r="E61" s="57">
        <v>3.6</v>
      </c>
      <c r="F61" s="6">
        <v>3000.0</v>
      </c>
      <c r="G61" s="6">
        <v>200.0</v>
      </c>
      <c r="H61" s="6">
        <f t="shared" si="145"/>
        <v>2800</v>
      </c>
      <c r="I61" s="6">
        <v>500.0</v>
      </c>
      <c r="J61" s="6">
        <f t="shared" si="146"/>
        <v>2300</v>
      </c>
      <c r="K61" s="6">
        <f t="shared" si="147"/>
        <v>10800</v>
      </c>
      <c r="M61" s="6">
        <v>50.0</v>
      </c>
      <c r="N61" s="14">
        <f t="shared" si="148"/>
        <v>0.25</v>
      </c>
      <c r="O61" s="6">
        <v>500.0</v>
      </c>
      <c r="P61" s="59">
        <f t="shared" si="149"/>
        <v>0.1785714286</v>
      </c>
      <c r="Q61" s="6">
        <v>100.0</v>
      </c>
      <c r="R61" s="14">
        <f t="shared" si="150"/>
        <v>0.2</v>
      </c>
      <c r="T61" s="6">
        <v>0.4</v>
      </c>
      <c r="U61" s="14">
        <f t="shared" si="151"/>
        <v>500</v>
      </c>
      <c r="V61" s="6">
        <v>1.0</v>
      </c>
      <c r="X61" s="6">
        <v>1050.0</v>
      </c>
      <c r="Y61" s="14">
        <f t="shared" si="152"/>
        <v>0.35</v>
      </c>
      <c r="AA61" s="6">
        <v>100.0</v>
      </c>
      <c r="AB61" s="59">
        <f t="shared" si="153"/>
        <v>0.03333333333</v>
      </c>
      <c r="AC61" s="6">
        <v>100.0</v>
      </c>
      <c r="AD61" s="59">
        <f t="shared" si="154"/>
        <v>0.03333333333</v>
      </c>
      <c r="AE61" s="6">
        <v>1.0</v>
      </c>
      <c r="AF61" s="14">
        <f t="shared" si="155"/>
        <v>0.0003333333333</v>
      </c>
      <c r="AG61" s="6"/>
      <c r="AH61" s="6">
        <v>550.0</v>
      </c>
      <c r="AI61" s="59">
        <f t="shared" si="156"/>
        <v>0.1833333333</v>
      </c>
      <c r="AJ61" s="88">
        <f t="shared" si="157"/>
        <v>4.850333333</v>
      </c>
      <c r="AK61" s="59">
        <f t="shared" si="158"/>
        <v>4.850333333</v>
      </c>
      <c r="AL61" s="59">
        <f t="shared" si="159"/>
        <v>5.578904762</v>
      </c>
      <c r="AM61" s="6">
        <v>19.0</v>
      </c>
      <c r="AO61" s="59">
        <f t="shared" si="160"/>
        <v>2.85</v>
      </c>
      <c r="AQ61" s="6">
        <v>3.13</v>
      </c>
      <c r="AR61" s="6">
        <v>0.02</v>
      </c>
      <c r="AU61" s="59">
        <f t="shared" si="161"/>
        <v>8.149666667</v>
      </c>
      <c r="AV61" s="14">
        <f t="shared" si="162"/>
        <v>42.89298246</v>
      </c>
      <c r="AW61" s="59">
        <f t="shared" si="163"/>
        <v>7.421095238</v>
      </c>
      <c r="AX61" s="14">
        <f t="shared" si="164"/>
        <v>39.05839599</v>
      </c>
    </row>
    <row r="62" hidden="1" outlineLevel="2">
      <c r="A62" s="90"/>
      <c r="B62" s="92"/>
      <c r="C62" s="94">
        <v>180.0</v>
      </c>
      <c r="E62" s="6">
        <v>4.9</v>
      </c>
      <c r="F62" s="6">
        <v>3000.0</v>
      </c>
      <c r="G62" s="6">
        <v>200.0</v>
      </c>
      <c r="H62" s="6">
        <f t="shared" si="145"/>
        <v>2800</v>
      </c>
      <c r="I62" s="6">
        <v>500.0</v>
      </c>
      <c r="J62" s="6">
        <f t="shared" si="146"/>
        <v>2300</v>
      </c>
      <c r="K62" s="6">
        <f t="shared" si="147"/>
        <v>14700</v>
      </c>
      <c r="M62" s="6">
        <v>50.0</v>
      </c>
      <c r="N62" s="14">
        <f t="shared" si="148"/>
        <v>0.25</v>
      </c>
      <c r="O62" s="6">
        <v>500.0</v>
      </c>
      <c r="P62" s="59">
        <f t="shared" si="149"/>
        <v>0.1785714286</v>
      </c>
      <c r="Q62" s="6">
        <v>100.0</v>
      </c>
      <c r="R62" s="14">
        <f t="shared" si="150"/>
        <v>0.2</v>
      </c>
      <c r="T62" s="6">
        <v>0.4</v>
      </c>
      <c r="U62" s="14">
        <f t="shared" si="151"/>
        <v>500</v>
      </c>
      <c r="V62" s="6">
        <v>1.0</v>
      </c>
      <c r="X62" s="6">
        <v>1050.0</v>
      </c>
      <c r="Y62" s="14">
        <f t="shared" si="152"/>
        <v>0.35</v>
      </c>
      <c r="AA62" s="6">
        <v>100.0</v>
      </c>
      <c r="AB62" s="59">
        <f t="shared" si="153"/>
        <v>0.03333333333</v>
      </c>
      <c r="AC62" s="6">
        <v>100.0</v>
      </c>
      <c r="AD62" s="59">
        <f t="shared" si="154"/>
        <v>0.03333333333</v>
      </c>
      <c r="AE62" s="6">
        <v>1.0</v>
      </c>
      <c r="AF62" s="14">
        <f t="shared" si="155"/>
        <v>0.0003333333333</v>
      </c>
      <c r="AG62" s="6"/>
      <c r="AH62" s="6">
        <v>550.0</v>
      </c>
      <c r="AI62" s="59">
        <f t="shared" si="156"/>
        <v>0.1833333333</v>
      </c>
      <c r="AJ62" s="88">
        <f t="shared" si="157"/>
        <v>6.150333333</v>
      </c>
      <c r="AK62" s="59">
        <f t="shared" si="158"/>
        <v>6.150333333</v>
      </c>
      <c r="AL62" s="59">
        <f t="shared" si="159"/>
        <v>6.878904762</v>
      </c>
      <c r="AM62" s="6">
        <v>22.0</v>
      </c>
      <c r="AO62" s="59">
        <f t="shared" si="160"/>
        <v>3.3</v>
      </c>
      <c r="AQ62" s="6">
        <v>3.13</v>
      </c>
      <c r="AR62" s="6">
        <v>0.02</v>
      </c>
      <c r="AU62" s="59">
        <f t="shared" si="161"/>
        <v>9.399666667</v>
      </c>
      <c r="AV62" s="14">
        <f t="shared" si="162"/>
        <v>42.72575758</v>
      </c>
      <c r="AW62" s="59">
        <f t="shared" si="163"/>
        <v>8.671095238</v>
      </c>
      <c r="AX62" s="14">
        <f t="shared" si="164"/>
        <v>39.41406926</v>
      </c>
    </row>
    <row r="63" hidden="1" outlineLevel="1">
      <c r="A63" s="90"/>
      <c r="B63" s="92" t="s">
        <v>195</v>
      </c>
      <c r="P63" s="59"/>
      <c r="AB63" s="59"/>
      <c r="AD63" s="59"/>
      <c r="AI63" s="59"/>
      <c r="AJ63" s="91"/>
      <c r="AK63" s="59"/>
      <c r="AO63" s="59"/>
    </row>
    <row r="64" hidden="1" outlineLevel="2">
      <c r="A64" s="90"/>
      <c r="B64" s="92"/>
      <c r="C64" s="93">
        <v>30.0</v>
      </c>
      <c r="E64" s="57">
        <v>2.48</v>
      </c>
      <c r="F64" s="6">
        <v>3000.0</v>
      </c>
      <c r="G64" s="6">
        <v>200.0</v>
      </c>
      <c r="H64" s="6">
        <f t="shared" ref="H64:H68" si="165">F64-G64</f>
        <v>2800</v>
      </c>
      <c r="I64" s="6">
        <v>500.0</v>
      </c>
      <c r="J64" s="6">
        <f t="shared" ref="J64:J68" si="166">H64-I64</f>
        <v>2300</v>
      </c>
      <c r="K64" s="6">
        <f t="shared" ref="K64:K68" si="167">F64*E64</f>
        <v>7440</v>
      </c>
      <c r="M64" s="6">
        <v>50.0</v>
      </c>
      <c r="N64" s="14">
        <f t="shared" ref="N64:N68" si="168">M64/G64</f>
        <v>0.25</v>
      </c>
      <c r="O64" s="6">
        <v>500.0</v>
      </c>
      <c r="P64" s="59">
        <f t="shared" ref="P64:P68" si="169">O64/H64</f>
        <v>0.1785714286</v>
      </c>
      <c r="Q64" s="6">
        <v>100.0</v>
      </c>
      <c r="R64" s="14">
        <f t="shared" ref="R64:R68" si="170">Q64/I64</f>
        <v>0.2</v>
      </c>
      <c r="T64" s="6">
        <v>0.4</v>
      </c>
      <c r="U64" s="14">
        <f t="shared" ref="U64:U68" si="171">V64*I64</f>
        <v>500</v>
      </c>
      <c r="V64" s="6">
        <v>1.0</v>
      </c>
      <c r="X64" s="6">
        <v>1050.0</v>
      </c>
      <c r="Y64" s="14">
        <f t="shared" ref="Y64:Y68" si="172">X64/F64</f>
        <v>0.35</v>
      </c>
      <c r="AA64" s="6">
        <v>100.0</v>
      </c>
      <c r="AB64" s="59">
        <f t="shared" ref="AB64:AB68" si="173">AA64/F64</f>
        <v>0.03333333333</v>
      </c>
      <c r="AC64" s="6">
        <v>100.0</v>
      </c>
      <c r="AD64" s="59">
        <f t="shared" ref="AD64:AD68" si="174">AC64/F64</f>
        <v>0.03333333333</v>
      </c>
      <c r="AE64" s="6">
        <v>1.0</v>
      </c>
      <c r="AF64" s="14">
        <f t="shared" ref="AF64:AF68" si="175">AE64/F64</f>
        <v>0.0003333333333</v>
      </c>
      <c r="AG64" s="6"/>
      <c r="AH64" s="6">
        <v>800.0</v>
      </c>
      <c r="AI64" s="59">
        <f t="shared" ref="AI64:AI68" si="176">AH64/F64</f>
        <v>0.2666666667</v>
      </c>
      <c r="AJ64" s="88">
        <f t="shared" ref="AJ64:AJ68" si="177">AK64</f>
        <v>3.813666667</v>
      </c>
      <c r="AK64" s="59">
        <f t="shared" ref="AK64:AK68" si="178">E64+N64+T64+Y64+AB64+AD64+AF64+AI64</f>
        <v>3.813666667</v>
      </c>
      <c r="AL64" s="59">
        <f t="shared" ref="AL64:AL68" si="179">E64+P64+R64+V64+Y64+AB64+AD64+AF64+AI64</f>
        <v>4.542238095</v>
      </c>
      <c r="AM64" s="6">
        <v>17.0</v>
      </c>
      <c r="AO64" s="59">
        <f t="shared" ref="AO64:AO68" si="180">AM64*0.15</f>
        <v>2.55</v>
      </c>
      <c r="AQ64" s="6">
        <v>3.13</v>
      </c>
      <c r="AR64" s="6">
        <v>0.02</v>
      </c>
      <c r="AU64" s="59">
        <f t="shared" ref="AU64:AU68" si="181">AM64-AK64-AO64-AQ64-AR64</f>
        <v>7.486333333</v>
      </c>
      <c r="AV64" s="14">
        <f t="shared" ref="AV64:AV68" si="182">(AU64/AM64)*100</f>
        <v>44.0372549</v>
      </c>
      <c r="AW64" s="59">
        <f t="shared" ref="AW64:AW68" si="183">AM64-AL64-AO64-AQ64-AR64</f>
        <v>6.757761905</v>
      </c>
      <c r="AX64" s="14">
        <f t="shared" ref="AX64:AX68" si="184">(AW64/AM64)*100</f>
        <v>39.75154062</v>
      </c>
    </row>
    <row r="65" hidden="1" outlineLevel="2">
      <c r="A65" s="90"/>
      <c r="B65" s="92"/>
      <c r="C65" s="93">
        <v>60.0</v>
      </c>
      <c r="E65" s="57">
        <v>2.57</v>
      </c>
      <c r="F65" s="6">
        <v>3000.0</v>
      </c>
      <c r="G65" s="6">
        <v>200.0</v>
      </c>
      <c r="H65" s="6">
        <f t="shared" si="165"/>
        <v>2800</v>
      </c>
      <c r="I65" s="6">
        <v>500.0</v>
      </c>
      <c r="J65" s="6">
        <f t="shared" si="166"/>
        <v>2300</v>
      </c>
      <c r="K65" s="6">
        <f t="shared" si="167"/>
        <v>7710</v>
      </c>
      <c r="M65" s="6">
        <v>50.0</v>
      </c>
      <c r="N65" s="14">
        <f t="shared" si="168"/>
        <v>0.25</v>
      </c>
      <c r="O65" s="6">
        <v>500.0</v>
      </c>
      <c r="P65" s="59">
        <f t="shared" si="169"/>
        <v>0.1785714286</v>
      </c>
      <c r="Q65" s="6">
        <v>100.0</v>
      </c>
      <c r="R65" s="14">
        <f t="shared" si="170"/>
        <v>0.2</v>
      </c>
      <c r="T65" s="6">
        <v>0.4</v>
      </c>
      <c r="U65" s="14">
        <f t="shared" si="171"/>
        <v>500</v>
      </c>
      <c r="V65" s="6">
        <v>1.0</v>
      </c>
      <c r="X65" s="6">
        <v>1050.0</v>
      </c>
      <c r="Y65" s="14">
        <f t="shared" si="172"/>
        <v>0.35</v>
      </c>
      <c r="AA65" s="6">
        <v>100.0</v>
      </c>
      <c r="AB65" s="59">
        <f t="shared" si="173"/>
        <v>0.03333333333</v>
      </c>
      <c r="AC65" s="6">
        <v>100.0</v>
      </c>
      <c r="AD65" s="59">
        <f t="shared" si="174"/>
        <v>0.03333333333</v>
      </c>
      <c r="AE65" s="6">
        <v>1.0</v>
      </c>
      <c r="AF65" s="14">
        <f t="shared" si="175"/>
        <v>0.0003333333333</v>
      </c>
      <c r="AG65" s="6"/>
      <c r="AH65" s="6">
        <v>800.0</v>
      </c>
      <c r="AI65" s="59">
        <f t="shared" si="176"/>
        <v>0.2666666667</v>
      </c>
      <c r="AJ65" s="88">
        <f t="shared" si="177"/>
        <v>3.903666667</v>
      </c>
      <c r="AK65" s="59">
        <f t="shared" si="178"/>
        <v>3.903666667</v>
      </c>
      <c r="AL65" s="59">
        <f t="shared" si="179"/>
        <v>4.632238095</v>
      </c>
      <c r="AM65" s="6">
        <v>17.0</v>
      </c>
      <c r="AO65" s="59">
        <f t="shared" si="180"/>
        <v>2.55</v>
      </c>
      <c r="AQ65" s="6">
        <v>3.13</v>
      </c>
      <c r="AR65" s="6">
        <v>0.02</v>
      </c>
      <c r="AU65" s="59">
        <f t="shared" si="181"/>
        <v>7.396333333</v>
      </c>
      <c r="AV65" s="14">
        <f t="shared" si="182"/>
        <v>43.50784314</v>
      </c>
      <c r="AW65" s="59">
        <f t="shared" si="183"/>
        <v>6.667761905</v>
      </c>
      <c r="AX65" s="14">
        <f t="shared" si="184"/>
        <v>39.22212885</v>
      </c>
    </row>
    <row r="66" hidden="1" outlineLevel="2">
      <c r="A66" s="90"/>
      <c r="B66" s="92"/>
      <c r="C66" s="93">
        <v>90.0</v>
      </c>
      <c r="E66" s="57">
        <v>3.08</v>
      </c>
      <c r="F66" s="6">
        <v>3000.0</v>
      </c>
      <c r="G66" s="6">
        <v>200.0</v>
      </c>
      <c r="H66" s="6">
        <f t="shared" si="165"/>
        <v>2800</v>
      </c>
      <c r="I66" s="6">
        <v>500.0</v>
      </c>
      <c r="J66" s="6">
        <f t="shared" si="166"/>
        <v>2300</v>
      </c>
      <c r="K66" s="6">
        <f t="shared" si="167"/>
        <v>9240</v>
      </c>
      <c r="M66" s="6">
        <v>50.0</v>
      </c>
      <c r="N66" s="14">
        <f t="shared" si="168"/>
        <v>0.25</v>
      </c>
      <c r="O66" s="6">
        <v>500.0</v>
      </c>
      <c r="P66" s="59">
        <f t="shared" si="169"/>
        <v>0.1785714286</v>
      </c>
      <c r="Q66" s="6">
        <v>100.0</v>
      </c>
      <c r="R66" s="14">
        <f t="shared" si="170"/>
        <v>0.2</v>
      </c>
      <c r="T66" s="6">
        <v>0.4</v>
      </c>
      <c r="U66" s="14">
        <f t="shared" si="171"/>
        <v>500</v>
      </c>
      <c r="V66" s="6">
        <v>1.0</v>
      </c>
      <c r="X66" s="6">
        <v>1050.0</v>
      </c>
      <c r="Y66" s="14">
        <f t="shared" si="172"/>
        <v>0.35</v>
      </c>
      <c r="AA66" s="6">
        <v>100.0</v>
      </c>
      <c r="AB66" s="59">
        <f t="shared" si="173"/>
        <v>0.03333333333</v>
      </c>
      <c r="AC66" s="6">
        <v>100.0</v>
      </c>
      <c r="AD66" s="59">
        <f t="shared" si="174"/>
        <v>0.03333333333</v>
      </c>
      <c r="AE66" s="6">
        <v>1.0</v>
      </c>
      <c r="AF66" s="14">
        <f t="shared" si="175"/>
        <v>0.0003333333333</v>
      </c>
      <c r="AG66" s="6"/>
      <c r="AH66" s="6">
        <v>800.0</v>
      </c>
      <c r="AI66" s="59">
        <f t="shared" si="176"/>
        <v>0.2666666667</v>
      </c>
      <c r="AJ66" s="88">
        <f t="shared" si="177"/>
        <v>4.413666667</v>
      </c>
      <c r="AK66" s="59">
        <f t="shared" si="178"/>
        <v>4.413666667</v>
      </c>
      <c r="AL66" s="59">
        <f t="shared" si="179"/>
        <v>5.142238095</v>
      </c>
      <c r="AM66" s="6">
        <v>17.0</v>
      </c>
      <c r="AO66" s="59">
        <f t="shared" si="180"/>
        <v>2.55</v>
      </c>
      <c r="AQ66" s="6">
        <v>3.13</v>
      </c>
      <c r="AR66" s="6">
        <v>0.02</v>
      </c>
      <c r="AU66" s="59">
        <f t="shared" si="181"/>
        <v>6.886333333</v>
      </c>
      <c r="AV66" s="14">
        <f t="shared" si="182"/>
        <v>40.50784314</v>
      </c>
      <c r="AW66" s="59">
        <f t="shared" si="183"/>
        <v>6.157761905</v>
      </c>
      <c r="AX66" s="14">
        <f t="shared" si="184"/>
        <v>36.22212885</v>
      </c>
    </row>
    <row r="67" hidden="1" outlineLevel="2">
      <c r="A67" s="90"/>
      <c r="B67" s="92"/>
      <c r="C67" s="93">
        <v>120.0</v>
      </c>
      <c r="E67" s="57">
        <v>3.6</v>
      </c>
      <c r="F67" s="6">
        <v>3000.0</v>
      </c>
      <c r="G67" s="6">
        <v>200.0</v>
      </c>
      <c r="H67" s="6">
        <f t="shared" si="165"/>
        <v>2800</v>
      </c>
      <c r="I67" s="6">
        <v>500.0</v>
      </c>
      <c r="J67" s="6">
        <f t="shared" si="166"/>
        <v>2300</v>
      </c>
      <c r="K67" s="6">
        <f t="shared" si="167"/>
        <v>10800</v>
      </c>
      <c r="M67" s="6">
        <v>50.0</v>
      </c>
      <c r="N67" s="14">
        <f t="shared" si="168"/>
        <v>0.25</v>
      </c>
      <c r="O67" s="6">
        <v>500.0</v>
      </c>
      <c r="P67" s="59">
        <f t="shared" si="169"/>
        <v>0.1785714286</v>
      </c>
      <c r="Q67" s="6">
        <v>100.0</v>
      </c>
      <c r="R67" s="14">
        <f t="shared" si="170"/>
        <v>0.2</v>
      </c>
      <c r="T67" s="6">
        <v>0.4</v>
      </c>
      <c r="U67" s="14">
        <f t="shared" si="171"/>
        <v>500</v>
      </c>
      <c r="V67" s="6">
        <v>1.0</v>
      </c>
      <c r="X67" s="6">
        <v>1050.0</v>
      </c>
      <c r="Y67" s="14">
        <f t="shared" si="172"/>
        <v>0.35</v>
      </c>
      <c r="AA67" s="6">
        <v>100.0</v>
      </c>
      <c r="AB67" s="59">
        <f t="shared" si="173"/>
        <v>0.03333333333</v>
      </c>
      <c r="AC67" s="6">
        <v>100.0</v>
      </c>
      <c r="AD67" s="59">
        <f t="shared" si="174"/>
        <v>0.03333333333</v>
      </c>
      <c r="AE67" s="6">
        <v>1.0</v>
      </c>
      <c r="AF67" s="14">
        <f t="shared" si="175"/>
        <v>0.0003333333333</v>
      </c>
      <c r="AG67" s="6"/>
      <c r="AH67" s="6">
        <v>800.0</v>
      </c>
      <c r="AI67" s="59">
        <f t="shared" si="176"/>
        <v>0.2666666667</v>
      </c>
      <c r="AJ67" s="88">
        <f t="shared" si="177"/>
        <v>4.933666667</v>
      </c>
      <c r="AK67" s="59">
        <f t="shared" si="178"/>
        <v>4.933666667</v>
      </c>
      <c r="AL67" s="59">
        <f t="shared" si="179"/>
        <v>5.662238095</v>
      </c>
      <c r="AM67" s="6">
        <v>17.0</v>
      </c>
      <c r="AO67" s="59">
        <f t="shared" si="180"/>
        <v>2.55</v>
      </c>
      <c r="AQ67" s="6">
        <v>3.13</v>
      </c>
      <c r="AR67" s="6">
        <v>0.02</v>
      </c>
      <c r="AU67" s="59">
        <f t="shared" si="181"/>
        <v>6.366333333</v>
      </c>
      <c r="AV67" s="14">
        <f t="shared" si="182"/>
        <v>37.44901961</v>
      </c>
      <c r="AW67" s="59">
        <f t="shared" si="183"/>
        <v>5.637761905</v>
      </c>
      <c r="AX67" s="14">
        <f t="shared" si="184"/>
        <v>33.16330532</v>
      </c>
    </row>
    <row r="68" hidden="1" outlineLevel="2">
      <c r="A68" s="90"/>
      <c r="B68" s="92"/>
      <c r="C68" s="94">
        <v>180.0</v>
      </c>
      <c r="E68" s="6">
        <v>4.9</v>
      </c>
      <c r="F68" s="6">
        <v>3000.0</v>
      </c>
      <c r="G68" s="6">
        <v>200.0</v>
      </c>
      <c r="H68" s="6">
        <f t="shared" si="165"/>
        <v>2800</v>
      </c>
      <c r="I68" s="6">
        <v>500.0</v>
      </c>
      <c r="J68" s="6">
        <f t="shared" si="166"/>
        <v>2300</v>
      </c>
      <c r="K68" s="6">
        <f t="shared" si="167"/>
        <v>14700</v>
      </c>
      <c r="M68" s="6">
        <v>50.0</v>
      </c>
      <c r="N68" s="14">
        <f t="shared" si="168"/>
        <v>0.25</v>
      </c>
      <c r="O68" s="6">
        <v>500.0</v>
      </c>
      <c r="P68" s="59">
        <f t="shared" si="169"/>
        <v>0.1785714286</v>
      </c>
      <c r="Q68" s="6">
        <v>100.0</v>
      </c>
      <c r="R68" s="14">
        <f t="shared" si="170"/>
        <v>0.2</v>
      </c>
      <c r="T68" s="6">
        <v>0.4</v>
      </c>
      <c r="U68" s="14">
        <f t="shared" si="171"/>
        <v>500</v>
      </c>
      <c r="V68" s="6">
        <v>1.0</v>
      </c>
      <c r="X68" s="6">
        <v>1050.0</v>
      </c>
      <c r="Y68" s="14">
        <f t="shared" si="172"/>
        <v>0.35</v>
      </c>
      <c r="AA68" s="6">
        <v>100.0</v>
      </c>
      <c r="AB68" s="59">
        <f t="shared" si="173"/>
        <v>0.03333333333</v>
      </c>
      <c r="AC68" s="6">
        <v>100.0</v>
      </c>
      <c r="AD68" s="59">
        <f t="shared" si="174"/>
        <v>0.03333333333</v>
      </c>
      <c r="AE68" s="6">
        <v>1.0</v>
      </c>
      <c r="AF68" s="14">
        <f t="shared" si="175"/>
        <v>0.0003333333333</v>
      </c>
      <c r="AG68" s="6"/>
      <c r="AH68" s="6">
        <v>800.0</v>
      </c>
      <c r="AI68" s="59">
        <f t="shared" si="176"/>
        <v>0.2666666667</v>
      </c>
      <c r="AJ68" s="88">
        <f t="shared" si="177"/>
        <v>6.233666667</v>
      </c>
      <c r="AK68" s="59">
        <f t="shared" si="178"/>
        <v>6.233666667</v>
      </c>
      <c r="AL68" s="59">
        <f t="shared" si="179"/>
        <v>6.962238095</v>
      </c>
      <c r="AM68" s="6">
        <v>17.0</v>
      </c>
      <c r="AO68" s="59">
        <f t="shared" si="180"/>
        <v>2.55</v>
      </c>
      <c r="AQ68" s="6">
        <v>3.13</v>
      </c>
      <c r="AR68" s="6">
        <v>0.02</v>
      </c>
      <c r="AU68" s="59">
        <f t="shared" si="181"/>
        <v>5.066333333</v>
      </c>
      <c r="AV68" s="14">
        <f t="shared" si="182"/>
        <v>29.80196078</v>
      </c>
      <c r="AW68" s="59">
        <f t="shared" si="183"/>
        <v>4.337761905</v>
      </c>
      <c r="AX68" s="14">
        <f t="shared" si="184"/>
        <v>25.5162465</v>
      </c>
    </row>
    <row r="69" hidden="1" outlineLevel="1">
      <c r="A69" s="90"/>
      <c r="B69" s="92" t="s">
        <v>196</v>
      </c>
      <c r="P69" s="59"/>
      <c r="AB69" s="59"/>
      <c r="AD69" s="59"/>
      <c r="AI69" s="59"/>
      <c r="AJ69" s="91"/>
      <c r="AK69" s="59"/>
      <c r="AO69" s="59"/>
    </row>
    <row r="70" hidden="1" outlineLevel="2">
      <c r="A70" s="90"/>
      <c r="B70" s="92"/>
      <c r="C70" s="93">
        <v>30.0</v>
      </c>
      <c r="E70" s="57">
        <v>2.48</v>
      </c>
      <c r="F70" s="6">
        <v>3000.0</v>
      </c>
      <c r="G70" s="6">
        <v>200.0</v>
      </c>
      <c r="H70" s="6">
        <f t="shared" ref="H70:H74" si="185">F70-G70</f>
        <v>2800</v>
      </c>
      <c r="I70" s="6">
        <v>500.0</v>
      </c>
      <c r="J70" s="6">
        <f t="shared" ref="J70:J74" si="186">H70-I70</f>
        <v>2300</v>
      </c>
      <c r="K70" s="6">
        <f t="shared" ref="K70:K74" si="187">F70*E70</f>
        <v>7440</v>
      </c>
      <c r="M70" s="6">
        <v>50.0</v>
      </c>
      <c r="N70" s="14">
        <f t="shared" ref="N70:N74" si="188">M70/G70</f>
        <v>0.25</v>
      </c>
      <c r="O70" s="6">
        <v>500.0</v>
      </c>
      <c r="P70" s="59">
        <f t="shared" ref="P70:P74" si="189">O70/H70</f>
        <v>0.1785714286</v>
      </c>
      <c r="Q70" s="6">
        <v>100.0</v>
      </c>
      <c r="R70" s="14">
        <f t="shared" ref="R70:R74" si="190">Q70/I70</f>
        <v>0.2</v>
      </c>
      <c r="T70" s="6">
        <v>0.4</v>
      </c>
      <c r="U70" s="14">
        <f t="shared" ref="U70:U74" si="191">V70*I70</f>
        <v>500</v>
      </c>
      <c r="V70" s="6">
        <v>1.0</v>
      </c>
      <c r="X70" s="6">
        <v>1050.0</v>
      </c>
      <c r="Y70" s="14">
        <f t="shared" ref="Y70:Y74" si="192">X70/F70</f>
        <v>0.35</v>
      </c>
      <c r="AA70" s="6">
        <v>100.0</v>
      </c>
      <c r="AB70" s="59">
        <f t="shared" ref="AB70:AB74" si="193">AA70/F70</f>
        <v>0.03333333333</v>
      </c>
      <c r="AC70" s="6">
        <v>100.0</v>
      </c>
      <c r="AD70" s="59">
        <f t="shared" ref="AD70:AD74" si="194">AC70/F70</f>
        <v>0.03333333333</v>
      </c>
      <c r="AE70" s="6">
        <v>1.0</v>
      </c>
      <c r="AF70" s="14">
        <f t="shared" ref="AF70:AF74" si="195">AE70/F70</f>
        <v>0.0003333333333</v>
      </c>
      <c r="AG70" s="6"/>
      <c r="AH70" s="6">
        <v>800.0</v>
      </c>
      <c r="AI70" s="59">
        <f t="shared" ref="AI70:AI74" si="196">AH70/F70</f>
        <v>0.2666666667</v>
      </c>
      <c r="AJ70" s="88">
        <f t="shared" ref="AJ70:AJ74" si="197">AK70</f>
        <v>3.813666667</v>
      </c>
      <c r="AK70" s="59">
        <f t="shared" ref="AK70:AK74" si="198">E70+N70+T70+Y70+AB70+AD70+AF70+AI70</f>
        <v>3.813666667</v>
      </c>
      <c r="AL70" s="59">
        <f t="shared" ref="AL70:AL74" si="199">E70+P70+R70+V70+Y70+AB70+AD70+AF70+AI70</f>
        <v>4.542238095</v>
      </c>
      <c r="AM70" s="6">
        <v>20.0</v>
      </c>
      <c r="AO70" s="59">
        <f t="shared" ref="AO70:AO74" si="200">AM70*0.15</f>
        <v>3</v>
      </c>
      <c r="AQ70" s="6">
        <v>3.13</v>
      </c>
      <c r="AR70" s="6">
        <v>0.02</v>
      </c>
      <c r="AU70" s="59">
        <f t="shared" ref="AU70:AU74" si="201">AM70-AK70-AO70-AQ70-AR70</f>
        <v>10.03633333</v>
      </c>
      <c r="AV70" s="14">
        <f t="shared" ref="AV70:AV74" si="202">(AU70/AM70)*100</f>
        <v>50.18166667</v>
      </c>
      <c r="AW70" s="59">
        <f t="shared" ref="AW70:AW74" si="203">AM70-AL70-AO70-AQ70-AR70</f>
        <v>9.307761905</v>
      </c>
      <c r="AX70" s="14">
        <f t="shared" ref="AX70:AX74" si="204">(AW70/AM70)*100</f>
        <v>46.53880952</v>
      </c>
    </row>
    <row r="71" hidden="1" outlineLevel="2">
      <c r="A71" s="90"/>
      <c r="B71" s="92"/>
      <c r="C71" s="93">
        <v>60.0</v>
      </c>
      <c r="E71" s="57">
        <v>2.57</v>
      </c>
      <c r="F71" s="6">
        <v>3000.0</v>
      </c>
      <c r="G71" s="6">
        <v>200.0</v>
      </c>
      <c r="H71" s="6">
        <f t="shared" si="185"/>
        <v>2800</v>
      </c>
      <c r="I71" s="6">
        <v>500.0</v>
      </c>
      <c r="J71" s="6">
        <f t="shared" si="186"/>
        <v>2300</v>
      </c>
      <c r="K71" s="6">
        <f t="shared" si="187"/>
        <v>7710</v>
      </c>
      <c r="M71" s="6">
        <v>50.0</v>
      </c>
      <c r="N71" s="14">
        <f t="shared" si="188"/>
        <v>0.25</v>
      </c>
      <c r="O71" s="6">
        <v>500.0</v>
      </c>
      <c r="P71" s="59">
        <f t="shared" si="189"/>
        <v>0.1785714286</v>
      </c>
      <c r="Q71" s="6">
        <v>100.0</v>
      </c>
      <c r="R71" s="14">
        <f t="shared" si="190"/>
        <v>0.2</v>
      </c>
      <c r="T71" s="6">
        <v>0.4</v>
      </c>
      <c r="U71" s="14">
        <f t="shared" si="191"/>
        <v>500</v>
      </c>
      <c r="V71" s="6">
        <v>1.0</v>
      </c>
      <c r="X71" s="6">
        <v>1050.0</v>
      </c>
      <c r="Y71" s="14">
        <f t="shared" si="192"/>
        <v>0.35</v>
      </c>
      <c r="AA71" s="6">
        <v>100.0</v>
      </c>
      <c r="AB71" s="59">
        <f t="shared" si="193"/>
        <v>0.03333333333</v>
      </c>
      <c r="AC71" s="6">
        <v>100.0</v>
      </c>
      <c r="AD71" s="59">
        <f t="shared" si="194"/>
        <v>0.03333333333</v>
      </c>
      <c r="AE71" s="6">
        <v>1.0</v>
      </c>
      <c r="AF71" s="14">
        <f t="shared" si="195"/>
        <v>0.0003333333333</v>
      </c>
      <c r="AG71" s="6"/>
      <c r="AH71" s="6">
        <v>800.0</v>
      </c>
      <c r="AI71" s="59">
        <f t="shared" si="196"/>
        <v>0.2666666667</v>
      </c>
      <c r="AJ71" s="88">
        <f t="shared" si="197"/>
        <v>3.903666667</v>
      </c>
      <c r="AK71" s="59">
        <f t="shared" si="198"/>
        <v>3.903666667</v>
      </c>
      <c r="AL71" s="59">
        <f t="shared" si="199"/>
        <v>4.632238095</v>
      </c>
      <c r="AM71" s="6">
        <v>20.0</v>
      </c>
      <c r="AO71" s="59">
        <f t="shared" si="200"/>
        <v>3</v>
      </c>
      <c r="AQ71" s="6">
        <v>3.13</v>
      </c>
      <c r="AR71" s="6">
        <v>0.02</v>
      </c>
      <c r="AU71" s="59">
        <f t="shared" si="201"/>
        <v>9.946333333</v>
      </c>
      <c r="AV71" s="14">
        <f t="shared" si="202"/>
        <v>49.73166667</v>
      </c>
      <c r="AW71" s="59">
        <f t="shared" si="203"/>
        <v>9.217761905</v>
      </c>
      <c r="AX71" s="14">
        <f t="shared" si="204"/>
        <v>46.08880952</v>
      </c>
    </row>
    <row r="72" hidden="1" outlineLevel="2">
      <c r="A72" s="90"/>
      <c r="B72" s="92"/>
      <c r="C72" s="93">
        <v>90.0</v>
      </c>
      <c r="E72" s="57">
        <v>3.08</v>
      </c>
      <c r="F72" s="6">
        <v>3000.0</v>
      </c>
      <c r="G72" s="6">
        <v>200.0</v>
      </c>
      <c r="H72" s="6">
        <f t="shared" si="185"/>
        <v>2800</v>
      </c>
      <c r="I72" s="6">
        <v>500.0</v>
      </c>
      <c r="J72" s="6">
        <f t="shared" si="186"/>
        <v>2300</v>
      </c>
      <c r="K72" s="6">
        <f t="shared" si="187"/>
        <v>9240</v>
      </c>
      <c r="M72" s="6">
        <v>50.0</v>
      </c>
      <c r="N72" s="14">
        <f t="shared" si="188"/>
        <v>0.25</v>
      </c>
      <c r="O72" s="6">
        <v>500.0</v>
      </c>
      <c r="P72" s="59">
        <f t="shared" si="189"/>
        <v>0.1785714286</v>
      </c>
      <c r="Q72" s="6">
        <v>100.0</v>
      </c>
      <c r="R72" s="14">
        <f t="shared" si="190"/>
        <v>0.2</v>
      </c>
      <c r="T72" s="6">
        <v>0.4</v>
      </c>
      <c r="U72" s="14">
        <f t="shared" si="191"/>
        <v>500</v>
      </c>
      <c r="V72" s="6">
        <v>1.0</v>
      </c>
      <c r="X72" s="6">
        <v>1050.0</v>
      </c>
      <c r="Y72" s="14">
        <f t="shared" si="192"/>
        <v>0.35</v>
      </c>
      <c r="AA72" s="6">
        <v>100.0</v>
      </c>
      <c r="AB72" s="59">
        <f t="shared" si="193"/>
        <v>0.03333333333</v>
      </c>
      <c r="AC72" s="6">
        <v>100.0</v>
      </c>
      <c r="AD72" s="59">
        <f t="shared" si="194"/>
        <v>0.03333333333</v>
      </c>
      <c r="AE72" s="6">
        <v>1.0</v>
      </c>
      <c r="AF72" s="14">
        <f t="shared" si="195"/>
        <v>0.0003333333333</v>
      </c>
      <c r="AG72" s="6"/>
      <c r="AH72" s="6">
        <v>800.0</v>
      </c>
      <c r="AI72" s="59">
        <f t="shared" si="196"/>
        <v>0.2666666667</v>
      </c>
      <c r="AJ72" s="88">
        <f t="shared" si="197"/>
        <v>4.413666667</v>
      </c>
      <c r="AK72" s="59">
        <f t="shared" si="198"/>
        <v>4.413666667</v>
      </c>
      <c r="AL72" s="59">
        <f t="shared" si="199"/>
        <v>5.142238095</v>
      </c>
      <c r="AM72" s="6">
        <v>20.0</v>
      </c>
      <c r="AO72" s="59">
        <f t="shared" si="200"/>
        <v>3</v>
      </c>
      <c r="AQ72" s="6">
        <v>3.13</v>
      </c>
      <c r="AR72" s="6">
        <v>0.02</v>
      </c>
      <c r="AU72" s="59">
        <f t="shared" si="201"/>
        <v>9.436333333</v>
      </c>
      <c r="AV72" s="14">
        <f t="shared" si="202"/>
        <v>47.18166667</v>
      </c>
      <c r="AW72" s="59">
        <f t="shared" si="203"/>
        <v>8.707761905</v>
      </c>
      <c r="AX72" s="14">
        <f t="shared" si="204"/>
        <v>43.53880952</v>
      </c>
    </row>
    <row r="73" hidden="1" outlineLevel="2">
      <c r="A73" s="90"/>
      <c r="B73" s="92"/>
      <c r="C73" s="93">
        <v>120.0</v>
      </c>
      <c r="E73" s="57">
        <v>3.6</v>
      </c>
      <c r="F73" s="6">
        <v>3000.0</v>
      </c>
      <c r="G73" s="6">
        <v>200.0</v>
      </c>
      <c r="H73" s="6">
        <f t="shared" si="185"/>
        <v>2800</v>
      </c>
      <c r="I73" s="6">
        <v>500.0</v>
      </c>
      <c r="J73" s="6">
        <f t="shared" si="186"/>
        <v>2300</v>
      </c>
      <c r="K73" s="6">
        <f t="shared" si="187"/>
        <v>10800</v>
      </c>
      <c r="M73" s="6">
        <v>50.0</v>
      </c>
      <c r="N73" s="14">
        <f t="shared" si="188"/>
        <v>0.25</v>
      </c>
      <c r="O73" s="6">
        <v>500.0</v>
      </c>
      <c r="P73" s="59">
        <f t="shared" si="189"/>
        <v>0.1785714286</v>
      </c>
      <c r="Q73" s="6">
        <v>100.0</v>
      </c>
      <c r="R73" s="14">
        <f t="shared" si="190"/>
        <v>0.2</v>
      </c>
      <c r="T73" s="6">
        <v>0.4</v>
      </c>
      <c r="U73" s="14">
        <f t="shared" si="191"/>
        <v>500</v>
      </c>
      <c r="V73" s="6">
        <v>1.0</v>
      </c>
      <c r="X73" s="6">
        <v>1050.0</v>
      </c>
      <c r="Y73" s="14">
        <f t="shared" si="192"/>
        <v>0.35</v>
      </c>
      <c r="AA73" s="6">
        <v>100.0</v>
      </c>
      <c r="AB73" s="59">
        <f t="shared" si="193"/>
        <v>0.03333333333</v>
      </c>
      <c r="AC73" s="6">
        <v>100.0</v>
      </c>
      <c r="AD73" s="59">
        <f t="shared" si="194"/>
        <v>0.03333333333</v>
      </c>
      <c r="AE73" s="6">
        <v>1.0</v>
      </c>
      <c r="AF73" s="14">
        <f t="shared" si="195"/>
        <v>0.0003333333333</v>
      </c>
      <c r="AG73" s="6"/>
      <c r="AH73" s="6">
        <v>800.0</v>
      </c>
      <c r="AI73" s="59">
        <f t="shared" si="196"/>
        <v>0.2666666667</v>
      </c>
      <c r="AJ73" s="88">
        <f t="shared" si="197"/>
        <v>4.933666667</v>
      </c>
      <c r="AK73" s="59">
        <f t="shared" si="198"/>
        <v>4.933666667</v>
      </c>
      <c r="AL73" s="59">
        <f t="shared" si="199"/>
        <v>5.662238095</v>
      </c>
      <c r="AM73" s="6">
        <v>20.0</v>
      </c>
      <c r="AO73" s="59">
        <f t="shared" si="200"/>
        <v>3</v>
      </c>
      <c r="AQ73" s="6">
        <v>3.13</v>
      </c>
      <c r="AR73" s="6">
        <v>0.02</v>
      </c>
      <c r="AU73" s="59">
        <f t="shared" si="201"/>
        <v>8.916333333</v>
      </c>
      <c r="AV73" s="14">
        <f t="shared" si="202"/>
        <v>44.58166667</v>
      </c>
      <c r="AW73" s="59">
        <f t="shared" si="203"/>
        <v>8.187761905</v>
      </c>
      <c r="AX73" s="14">
        <f t="shared" si="204"/>
        <v>40.93880952</v>
      </c>
    </row>
    <row r="74" hidden="1" outlineLevel="2">
      <c r="A74" s="90"/>
      <c r="B74" s="92"/>
      <c r="C74" s="94">
        <v>180.0</v>
      </c>
      <c r="E74" s="6">
        <v>4.9</v>
      </c>
      <c r="F74" s="6">
        <v>3000.0</v>
      </c>
      <c r="G74" s="6">
        <v>200.0</v>
      </c>
      <c r="H74" s="6">
        <f t="shared" si="185"/>
        <v>2800</v>
      </c>
      <c r="I74" s="6">
        <v>500.0</v>
      </c>
      <c r="J74" s="6">
        <f t="shared" si="186"/>
        <v>2300</v>
      </c>
      <c r="K74" s="6">
        <f t="shared" si="187"/>
        <v>14700</v>
      </c>
      <c r="M74" s="6">
        <v>50.0</v>
      </c>
      <c r="N74" s="14">
        <f t="shared" si="188"/>
        <v>0.25</v>
      </c>
      <c r="O74" s="6">
        <v>500.0</v>
      </c>
      <c r="P74" s="59">
        <f t="shared" si="189"/>
        <v>0.1785714286</v>
      </c>
      <c r="Q74" s="6">
        <v>100.0</v>
      </c>
      <c r="R74" s="14">
        <f t="shared" si="190"/>
        <v>0.2</v>
      </c>
      <c r="T74" s="6">
        <v>0.4</v>
      </c>
      <c r="U74" s="14">
        <f t="shared" si="191"/>
        <v>500</v>
      </c>
      <c r="V74" s="6">
        <v>1.0</v>
      </c>
      <c r="X74" s="6">
        <v>1050.0</v>
      </c>
      <c r="Y74" s="14">
        <f t="shared" si="192"/>
        <v>0.35</v>
      </c>
      <c r="AA74" s="6">
        <v>100.0</v>
      </c>
      <c r="AB74" s="59">
        <f t="shared" si="193"/>
        <v>0.03333333333</v>
      </c>
      <c r="AC74" s="6">
        <v>100.0</v>
      </c>
      <c r="AD74" s="59">
        <f t="shared" si="194"/>
        <v>0.03333333333</v>
      </c>
      <c r="AE74" s="6">
        <v>1.0</v>
      </c>
      <c r="AF74" s="14">
        <f t="shared" si="195"/>
        <v>0.0003333333333</v>
      </c>
      <c r="AG74" s="6"/>
      <c r="AH74" s="6">
        <v>800.0</v>
      </c>
      <c r="AI74" s="59">
        <f t="shared" si="196"/>
        <v>0.2666666667</v>
      </c>
      <c r="AJ74" s="88">
        <f t="shared" si="197"/>
        <v>6.233666667</v>
      </c>
      <c r="AK74" s="59">
        <f t="shared" si="198"/>
        <v>6.233666667</v>
      </c>
      <c r="AL74" s="59">
        <f t="shared" si="199"/>
        <v>6.962238095</v>
      </c>
      <c r="AM74" s="6">
        <v>20.0</v>
      </c>
      <c r="AO74" s="59">
        <f t="shared" si="200"/>
        <v>3</v>
      </c>
      <c r="AQ74" s="6">
        <v>3.13</v>
      </c>
      <c r="AR74" s="6">
        <v>0.02</v>
      </c>
      <c r="AU74" s="59">
        <f t="shared" si="201"/>
        <v>7.616333333</v>
      </c>
      <c r="AV74" s="14">
        <f t="shared" si="202"/>
        <v>38.08166667</v>
      </c>
      <c r="AW74" s="59">
        <f t="shared" si="203"/>
        <v>6.887761905</v>
      </c>
      <c r="AX74" s="14">
        <f t="shared" si="204"/>
        <v>34.43880952</v>
      </c>
    </row>
    <row r="75" hidden="1" outlineLevel="1">
      <c r="A75" s="90"/>
      <c r="B75" s="92" t="s">
        <v>197</v>
      </c>
      <c r="P75" s="59"/>
      <c r="AB75" s="59"/>
      <c r="AD75" s="59"/>
      <c r="AI75" s="59"/>
      <c r="AJ75" s="91"/>
      <c r="AK75" s="59"/>
      <c r="AO75" s="59"/>
    </row>
    <row r="76" hidden="1" outlineLevel="2">
      <c r="A76" s="90"/>
      <c r="B76" s="92"/>
      <c r="C76" s="93">
        <v>30.0</v>
      </c>
      <c r="E76" s="57">
        <v>2.48</v>
      </c>
      <c r="F76" s="6">
        <v>3000.0</v>
      </c>
      <c r="G76" s="6">
        <v>200.0</v>
      </c>
      <c r="H76" s="6">
        <f t="shared" ref="H76:H80" si="205">F76-G76</f>
        <v>2800</v>
      </c>
      <c r="I76" s="6">
        <v>500.0</v>
      </c>
      <c r="J76" s="6">
        <f t="shared" ref="J76:J80" si="206">H76-I76</f>
        <v>2300</v>
      </c>
      <c r="K76" s="6">
        <f t="shared" ref="K76:K80" si="207">F76*E76</f>
        <v>7440</v>
      </c>
      <c r="M76" s="6">
        <v>50.0</v>
      </c>
      <c r="N76" s="14">
        <f t="shared" ref="N76:N80" si="208">M76/G76</f>
        <v>0.25</v>
      </c>
      <c r="O76" s="6">
        <v>500.0</v>
      </c>
      <c r="P76" s="59">
        <f t="shared" ref="P76:P80" si="209">O76/H76</f>
        <v>0.1785714286</v>
      </c>
      <c r="Q76" s="6">
        <v>100.0</v>
      </c>
      <c r="R76" s="14">
        <f t="shared" ref="R76:R80" si="210">Q76/I76</f>
        <v>0.2</v>
      </c>
      <c r="T76" s="6">
        <v>0.4</v>
      </c>
      <c r="U76" s="14">
        <f t="shared" ref="U76:U80" si="211">V76*I76</f>
        <v>500</v>
      </c>
      <c r="V76" s="6">
        <v>1.0</v>
      </c>
      <c r="X76" s="6">
        <v>1050.0</v>
      </c>
      <c r="Y76" s="14">
        <f t="shared" ref="Y76:Y80" si="212">X76/F76</f>
        <v>0.35</v>
      </c>
      <c r="AA76" s="6">
        <v>100.0</v>
      </c>
      <c r="AB76" s="59">
        <f t="shared" ref="AB76:AB80" si="213">AA76/F76</f>
        <v>0.03333333333</v>
      </c>
      <c r="AC76" s="6">
        <v>100.0</v>
      </c>
      <c r="AD76" s="59">
        <f t="shared" ref="AD76:AD80" si="214">AC76/F76</f>
        <v>0.03333333333</v>
      </c>
      <c r="AE76" s="6">
        <v>1.0</v>
      </c>
      <c r="AF76" s="14">
        <f t="shared" ref="AF76:AF80" si="215">AE76/F76</f>
        <v>0.0003333333333</v>
      </c>
      <c r="AG76" s="6"/>
      <c r="AH76" s="6">
        <v>850.0</v>
      </c>
      <c r="AI76" s="59">
        <f t="shared" ref="AI76:AI80" si="216">AH76/F76</f>
        <v>0.2833333333</v>
      </c>
      <c r="AJ76" s="88">
        <f t="shared" ref="AJ76:AJ80" si="217">AK76</f>
        <v>3.830333333</v>
      </c>
      <c r="AK76" s="59">
        <f t="shared" ref="AK76:AK80" si="218">E76+N76+T76+Y76+AB76+AD76+AF76+AI76</f>
        <v>3.830333333</v>
      </c>
      <c r="AL76" s="59">
        <f t="shared" ref="AL76:AL80" si="219">E76+P76+R76+V76+Y76+AB76+AD76+AF76+AI76</f>
        <v>4.558904762</v>
      </c>
      <c r="AM76" s="6">
        <v>23.0</v>
      </c>
      <c r="AO76" s="59">
        <f t="shared" ref="AO76:AO80" si="220">AM76*0.15</f>
        <v>3.45</v>
      </c>
      <c r="AQ76" s="6">
        <v>3.13</v>
      </c>
      <c r="AR76" s="6">
        <v>0.02</v>
      </c>
      <c r="AU76" s="59">
        <f t="shared" ref="AU76:AU80" si="221">AM76-AK76-AO76-AQ76-AR76</f>
        <v>12.56966667</v>
      </c>
      <c r="AV76" s="14">
        <f t="shared" ref="AV76:AV80" si="222">(AU76/AM76)*100</f>
        <v>54.65072464</v>
      </c>
      <c r="AW76" s="59">
        <f t="shared" ref="AW76:AW80" si="223">AM76-AL76-AO76-AQ76-AR76</f>
        <v>11.84109524</v>
      </c>
      <c r="AX76" s="14">
        <f t="shared" ref="AX76:AX80" si="224">(AW76/AM76)*100</f>
        <v>51.48302277</v>
      </c>
    </row>
    <row r="77" hidden="1" outlineLevel="2">
      <c r="A77" s="90"/>
      <c r="B77" s="92"/>
      <c r="C77" s="93">
        <v>60.0</v>
      </c>
      <c r="E77" s="57">
        <v>2.57</v>
      </c>
      <c r="F77" s="6">
        <v>3000.0</v>
      </c>
      <c r="G77" s="6">
        <v>200.0</v>
      </c>
      <c r="H77" s="6">
        <f t="shared" si="205"/>
        <v>2800</v>
      </c>
      <c r="I77" s="6">
        <v>500.0</v>
      </c>
      <c r="J77" s="6">
        <f t="shared" si="206"/>
        <v>2300</v>
      </c>
      <c r="K77" s="6">
        <f t="shared" si="207"/>
        <v>7710</v>
      </c>
      <c r="M77" s="6">
        <v>50.0</v>
      </c>
      <c r="N77" s="14">
        <f t="shared" si="208"/>
        <v>0.25</v>
      </c>
      <c r="O77" s="6">
        <v>500.0</v>
      </c>
      <c r="P77" s="59">
        <f t="shared" si="209"/>
        <v>0.1785714286</v>
      </c>
      <c r="Q77" s="6">
        <v>100.0</v>
      </c>
      <c r="R77" s="14">
        <f t="shared" si="210"/>
        <v>0.2</v>
      </c>
      <c r="T77" s="6">
        <v>0.4</v>
      </c>
      <c r="U77" s="14">
        <f t="shared" si="211"/>
        <v>500</v>
      </c>
      <c r="V77" s="6">
        <v>1.0</v>
      </c>
      <c r="X77" s="6">
        <v>1050.0</v>
      </c>
      <c r="Y77" s="14">
        <f t="shared" si="212"/>
        <v>0.35</v>
      </c>
      <c r="AA77" s="6">
        <v>100.0</v>
      </c>
      <c r="AB77" s="59">
        <f t="shared" si="213"/>
        <v>0.03333333333</v>
      </c>
      <c r="AC77" s="6">
        <v>100.0</v>
      </c>
      <c r="AD77" s="59">
        <f t="shared" si="214"/>
        <v>0.03333333333</v>
      </c>
      <c r="AE77" s="6">
        <v>1.0</v>
      </c>
      <c r="AF77" s="14">
        <f t="shared" si="215"/>
        <v>0.0003333333333</v>
      </c>
      <c r="AG77" s="6"/>
      <c r="AH77" s="6">
        <v>850.0</v>
      </c>
      <c r="AI77" s="59">
        <f t="shared" si="216"/>
        <v>0.2833333333</v>
      </c>
      <c r="AJ77" s="88">
        <f t="shared" si="217"/>
        <v>3.920333333</v>
      </c>
      <c r="AK77" s="59">
        <f t="shared" si="218"/>
        <v>3.920333333</v>
      </c>
      <c r="AL77" s="59">
        <f t="shared" si="219"/>
        <v>4.648904762</v>
      </c>
      <c r="AM77" s="6">
        <v>23.0</v>
      </c>
      <c r="AO77" s="59">
        <f t="shared" si="220"/>
        <v>3.45</v>
      </c>
      <c r="AQ77" s="6">
        <v>3.13</v>
      </c>
      <c r="AR77" s="6">
        <v>0.02</v>
      </c>
      <c r="AU77" s="59">
        <f t="shared" si="221"/>
        <v>12.47966667</v>
      </c>
      <c r="AV77" s="14">
        <f t="shared" si="222"/>
        <v>54.25942029</v>
      </c>
      <c r="AW77" s="59">
        <f t="shared" si="223"/>
        <v>11.75109524</v>
      </c>
      <c r="AX77" s="14">
        <f t="shared" si="224"/>
        <v>51.09171843</v>
      </c>
    </row>
    <row r="78" hidden="1" outlineLevel="2">
      <c r="A78" s="90"/>
      <c r="B78" s="92"/>
      <c r="C78" s="93">
        <v>90.0</v>
      </c>
      <c r="E78" s="57">
        <v>3.08</v>
      </c>
      <c r="F78" s="6">
        <v>3000.0</v>
      </c>
      <c r="G78" s="6">
        <v>200.0</v>
      </c>
      <c r="H78" s="6">
        <f t="shared" si="205"/>
        <v>2800</v>
      </c>
      <c r="I78" s="6">
        <v>500.0</v>
      </c>
      <c r="J78" s="6">
        <f t="shared" si="206"/>
        <v>2300</v>
      </c>
      <c r="K78" s="6">
        <f t="shared" si="207"/>
        <v>9240</v>
      </c>
      <c r="M78" s="6">
        <v>50.0</v>
      </c>
      <c r="N78" s="14">
        <f t="shared" si="208"/>
        <v>0.25</v>
      </c>
      <c r="O78" s="6">
        <v>500.0</v>
      </c>
      <c r="P78" s="59">
        <f t="shared" si="209"/>
        <v>0.1785714286</v>
      </c>
      <c r="Q78" s="6">
        <v>100.0</v>
      </c>
      <c r="R78" s="14">
        <f t="shared" si="210"/>
        <v>0.2</v>
      </c>
      <c r="T78" s="6">
        <v>0.4</v>
      </c>
      <c r="U78" s="14">
        <f t="shared" si="211"/>
        <v>500</v>
      </c>
      <c r="V78" s="6">
        <v>1.0</v>
      </c>
      <c r="X78" s="6">
        <v>1050.0</v>
      </c>
      <c r="Y78" s="14">
        <f t="shared" si="212"/>
        <v>0.35</v>
      </c>
      <c r="AA78" s="6">
        <v>100.0</v>
      </c>
      <c r="AB78" s="59">
        <f t="shared" si="213"/>
        <v>0.03333333333</v>
      </c>
      <c r="AC78" s="6">
        <v>100.0</v>
      </c>
      <c r="AD78" s="59">
        <f t="shared" si="214"/>
        <v>0.03333333333</v>
      </c>
      <c r="AE78" s="6">
        <v>1.0</v>
      </c>
      <c r="AF78" s="14">
        <f t="shared" si="215"/>
        <v>0.0003333333333</v>
      </c>
      <c r="AG78" s="6"/>
      <c r="AH78" s="6">
        <v>850.0</v>
      </c>
      <c r="AI78" s="59">
        <f t="shared" si="216"/>
        <v>0.2833333333</v>
      </c>
      <c r="AJ78" s="88">
        <f t="shared" si="217"/>
        <v>4.430333333</v>
      </c>
      <c r="AK78" s="59">
        <f t="shared" si="218"/>
        <v>4.430333333</v>
      </c>
      <c r="AL78" s="59">
        <f t="shared" si="219"/>
        <v>5.158904762</v>
      </c>
      <c r="AM78" s="6">
        <v>23.0</v>
      </c>
      <c r="AO78" s="59">
        <f t="shared" si="220"/>
        <v>3.45</v>
      </c>
      <c r="AQ78" s="6">
        <v>3.13</v>
      </c>
      <c r="AR78" s="6">
        <v>0.02</v>
      </c>
      <c r="AU78" s="59">
        <f t="shared" si="221"/>
        <v>11.96966667</v>
      </c>
      <c r="AV78" s="14">
        <f t="shared" si="222"/>
        <v>52.04202899</v>
      </c>
      <c r="AW78" s="59">
        <f t="shared" si="223"/>
        <v>11.24109524</v>
      </c>
      <c r="AX78" s="14">
        <f t="shared" si="224"/>
        <v>48.87432712</v>
      </c>
    </row>
    <row r="79" hidden="1" outlineLevel="2">
      <c r="A79" s="90"/>
      <c r="B79" s="92"/>
      <c r="C79" s="93">
        <v>120.0</v>
      </c>
      <c r="E79" s="57">
        <v>3.6</v>
      </c>
      <c r="F79" s="6">
        <v>3000.0</v>
      </c>
      <c r="G79" s="6">
        <v>200.0</v>
      </c>
      <c r="H79" s="6">
        <f t="shared" si="205"/>
        <v>2800</v>
      </c>
      <c r="I79" s="6">
        <v>500.0</v>
      </c>
      <c r="J79" s="6">
        <f t="shared" si="206"/>
        <v>2300</v>
      </c>
      <c r="K79" s="6">
        <f t="shared" si="207"/>
        <v>10800</v>
      </c>
      <c r="M79" s="6">
        <v>50.0</v>
      </c>
      <c r="N79" s="14">
        <f t="shared" si="208"/>
        <v>0.25</v>
      </c>
      <c r="O79" s="6">
        <v>500.0</v>
      </c>
      <c r="P79" s="59">
        <f t="shared" si="209"/>
        <v>0.1785714286</v>
      </c>
      <c r="Q79" s="6">
        <v>100.0</v>
      </c>
      <c r="R79" s="14">
        <f t="shared" si="210"/>
        <v>0.2</v>
      </c>
      <c r="T79" s="6">
        <v>0.4</v>
      </c>
      <c r="U79" s="14">
        <f t="shared" si="211"/>
        <v>500</v>
      </c>
      <c r="V79" s="6">
        <v>1.0</v>
      </c>
      <c r="X79" s="6">
        <v>1050.0</v>
      </c>
      <c r="Y79" s="14">
        <f t="shared" si="212"/>
        <v>0.35</v>
      </c>
      <c r="AA79" s="6">
        <v>100.0</v>
      </c>
      <c r="AB79" s="59">
        <f t="shared" si="213"/>
        <v>0.03333333333</v>
      </c>
      <c r="AC79" s="6">
        <v>100.0</v>
      </c>
      <c r="AD79" s="59">
        <f t="shared" si="214"/>
        <v>0.03333333333</v>
      </c>
      <c r="AE79" s="6">
        <v>1.0</v>
      </c>
      <c r="AF79" s="14">
        <f t="shared" si="215"/>
        <v>0.0003333333333</v>
      </c>
      <c r="AG79" s="6"/>
      <c r="AH79" s="6">
        <v>850.0</v>
      </c>
      <c r="AI79" s="59">
        <f t="shared" si="216"/>
        <v>0.2833333333</v>
      </c>
      <c r="AJ79" s="88">
        <f t="shared" si="217"/>
        <v>4.950333333</v>
      </c>
      <c r="AK79" s="59">
        <f t="shared" si="218"/>
        <v>4.950333333</v>
      </c>
      <c r="AL79" s="59">
        <f t="shared" si="219"/>
        <v>5.678904762</v>
      </c>
      <c r="AM79" s="6">
        <v>23.0</v>
      </c>
      <c r="AO79" s="59">
        <f t="shared" si="220"/>
        <v>3.45</v>
      </c>
      <c r="AQ79" s="6">
        <v>3.13</v>
      </c>
      <c r="AR79" s="6">
        <v>0.02</v>
      </c>
      <c r="AU79" s="59">
        <f t="shared" si="221"/>
        <v>11.44966667</v>
      </c>
      <c r="AV79" s="14">
        <f t="shared" si="222"/>
        <v>49.78115942</v>
      </c>
      <c r="AW79" s="59">
        <f t="shared" si="223"/>
        <v>10.72109524</v>
      </c>
      <c r="AX79" s="14">
        <f t="shared" si="224"/>
        <v>46.61345756</v>
      </c>
    </row>
    <row r="80" hidden="1" outlineLevel="2">
      <c r="A80" s="90"/>
      <c r="B80" s="92"/>
      <c r="C80" s="94">
        <v>180.0</v>
      </c>
      <c r="E80" s="6">
        <v>4.9</v>
      </c>
      <c r="F80" s="6">
        <v>3000.0</v>
      </c>
      <c r="G80" s="6">
        <v>200.0</v>
      </c>
      <c r="H80" s="6">
        <f t="shared" si="205"/>
        <v>2800</v>
      </c>
      <c r="I80" s="6">
        <v>500.0</v>
      </c>
      <c r="J80" s="6">
        <f t="shared" si="206"/>
        <v>2300</v>
      </c>
      <c r="K80" s="6">
        <f t="shared" si="207"/>
        <v>14700</v>
      </c>
      <c r="M80" s="6">
        <v>50.0</v>
      </c>
      <c r="N80" s="14">
        <f t="shared" si="208"/>
        <v>0.25</v>
      </c>
      <c r="O80" s="6">
        <v>500.0</v>
      </c>
      <c r="P80" s="59">
        <f t="shared" si="209"/>
        <v>0.1785714286</v>
      </c>
      <c r="Q80" s="6">
        <v>100.0</v>
      </c>
      <c r="R80" s="14">
        <f t="shared" si="210"/>
        <v>0.2</v>
      </c>
      <c r="T80" s="6">
        <v>0.4</v>
      </c>
      <c r="U80" s="14">
        <f t="shared" si="211"/>
        <v>500</v>
      </c>
      <c r="V80" s="6">
        <v>1.0</v>
      </c>
      <c r="X80" s="6">
        <v>1050.0</v>
      </c>
      <c r="Y80" s="14">
        <f t="shared" si="212"/>
        <v>0.35</v>
      </c>
      <c r="AA80" s="6">
        <v>100.0</v>
      </c>
      <c r="AB80" s="59">
        <f t="shared" si="213"/>
        <v>0.03333333333</v>
      </c>
      <c r="AC80" s="6">
        <v>100.0</v>
      </c>
      <c r="AD80" s="59">
        <f t="shared" si="214"/>
        <v>0.03333333333</v>
      </c>
      <c r="AE80" s="6">
        <v>1.0</v>
      </c>
      <c r="AF80" s="14">
        <f t="shared" si="215"/>
        <v>0.0003333333333</v>
      </c>
      <c r="AG80" s="6"/>
      <c r="AH80" s="6">
        <v>850.0</v>
      </c>
      <c r="AI80" s="59">
        <f t="shared" si="216"/>
        <v>0.2833333333</v>
      </c>
      <c r="AJ80" s="88">
        <f t="shared" si="217"/>
        <v>6.250333333</v>
      </c>
      <c r="AK80" s="59">
        <f t="shared" si="218"/>
        <v>6.250333333</v>
      </c>
      <c r="AL80" s="59">
        <f t="shared" si="219"/>
        <v>6.978904762</v>
      </c>
      <c r="AM80" s="6">
        <v>23.0</v>
      </c>
      <c r="AO80" s="59">
        <f t="shared" si="220"/>
        <v>3.45</v>
      </c>
      <c r="AQ80" s="6">
        <v>3.13</v>
      </c>
      <c r="AR80" s="6">
        <v>0.02</v>
      </c>
      <c r="AU80" s="59">
        <f t="shared" si="221"/>
        <v>10.14966667</v>
      </c>
      <c r="AV80" s="14">
        <f t="shared" si="222"/>
        <v>44.12898551</v>
      </c>
      <c r="AW80" s="59">
        <f t="shared" si="223"/>
        <v>9.421095238</v>
      </c>
      <c r="AX80" s="14">
        <f t="shared" si="224"/>
        <v>40.96128364</v>
      </c>
    </row>
    <row r="81" collapsed="1">
      <c r="A81" s="89" t="s">
        <v>200</v>
      </c>
      <c r="B81" s="90"/>
      <c r="C81" s="90"/>
      <c r="P81" s="59"/>
      <c r="AB81" s="59"/>
      <c r="AD81" s="59"/>
      <c r="AI81" s="59"/>
      <c r="AJ81" s="91"/>
      <c r="AK81" s="59"/>
      <c r="AO81" s="59"/>
    </row>
    <row r="82" hidden="1" outlineLevel="1">
      <c r="A82" s="90"/>
      <c r="B82" s="92" t="s">
        <v>194</v>
      </c>
      <c r="C82" s="90"/>
      <c r="P82" s="59"/>
      <c r="AB82" s="59"/>
      <c r="AD82" s="59"/>
      <c r="AI82" s="59"/>
      <c r="AJ82" s="91"/>
      <c r="AK82" s="59"/>
      <c r="AO82" s="59"/>
    </row>
    <row r="83" hidden="1" outlineLevel="2">
      <c r="A83" s="90"/>
      <c r="B83" s="92"/>
      <c r="C83" s="93">
        <v>30.0</v>
      </c>
      <c r="E83" s="57">
        <v>2.1</v>
      </c>
      <c r="F83" s="6">
        <v>1000.0</v>
      </c>
      <c r="G83" s="6">
        <v>200.0</v>
      </c>
      <c r="H83" s="6">
        <f t="shared" ref="H83:H87" si="225">F83-G83</f>
        <v>800</v>
      </c>
      <c r="I83" s="6">
        <v>500.0</v>
      </c>
      <c r="J83" s="6">
        <f t="shared" ref="J83:J87" si="226">H83-I83</f>
        <v>300</v>
      </c>
      <c r="K83" s="6">
        <f t="shared" ref="K83:K87" si="227">F83*E83</f>
        <v>2100</v>
      </c>
      <c r="M83" s="6">
        <v>50.0</v>
      </c>
      <c r="N83" s="14">
        <f t="shared" ref="N83:N87" si="228">M83/G83</f>
        <v>0.25</v>
      </c>
      <c r="O83" s="6">
        <v>500.0</v>
      </c>
      <c r="P83" s="59">
        <f t="shared" ref="P83:P87" si="229">O83/H83</f>
        <v>0.625</v>
      </c>
      <c r="Q83" s="6">
        <v>100.0</v>
      </c>
      <c r="R83" s="14">
        <f t="shared" ref="R83:R87" si="230">Q83/I83</f>
        <v>0.2</v>
      </c>
      <c r="T83" s="6">
        <v>0.4</v>
      </c>
      <c r="U83" s="14">
        <f t="shared" ref="U83:U87" si="231">V83*I83</f>
        <v>500</v>
      </c>
      <c r="V83" s="6">
        <v>1.0</v>
      </c>
      <c r="X83" s="6">
        <v>1050.0</v>
      </c>
      <c r="Y83" s="14">
        <f t="shared" ref="Y83:Y87" si="232">X83/F83</f>
        <v>1.05</v>
      </c>
      <c r="AA83" s="6">
        <v>100.0</v>
      </c>
      <c r="AB83" s="59">
        <f t="shared" ref="AB83:AB87" si="233">AA83/F83</f>
        <v>0.1</v>
      </c>
      <c r="AC83" s="6">
        <v>100.0</v>
      </c>
      <c r="AD83" s="59">
        <f t="shared" ref="AD83:AD87" si="234">AC83/F83</f>
        <v>0.1</v>
      </c>
      <c r="AE83" s="6">
        <v>1.0</v>
      </c>
      <c r="AF83" s="14">
        <f t="shared" ref="AF83:AF87" si="235">AE83/F83</f>
        <v>0.001</v>
      </c>
      <c r="AG83" s="6"/>
      <c r="AH83" s="6">
        <v>550.0</v>
      </c>
      <c r="AI83" s="59">
        <f t="shared" ref="AI83:AI87" si="236">AH83/F83</f>
        <v>0.55</v>
      </c>
      <c r="AJ83" s="88">
        <f t="shared" ref="AJ83:AJ87" si="237">AK83</f>
        <v>4.551</v>
      </c>
      <c r="AK83" s="59">
        <f t="shared" ref="AK83:AK87" si="238">E83+N83+T83+Y83+AB83+AD83+AF83+AI83</f>
        <v>4.551</v>
      </c>
      <c r="AL83" s="59">
        <f t="shared" ref="AL83:AL87" si="239">E83+P83+R83+V83+Y83+AB83+AD83+AF83+AI83</f>
        <v>5.726</v>
      </c>
      <c r="AM83" s="6">
        <v>28.0</v>
      </c>
      <c r="AO83" s="59">
        <f t="shared" ref="AO83:AO87" si="240">AM83*0.15</f>
        <v>4.2</v>
      </c>
      <c r="AQ83" s="6">
        <v>3.13</v>
      </c>
      <c r="AR83" s="6">
        <v>0.02</v>
      </c>
      <c r="AU83" s="59">
        <f t="shared" ref="AU83:AU87" si="241">AM83-AK83-AO83-AQ83-AR83</f>
        <v>16.099</v>
      </c>
      <c r="AV83" s="14">
        <f t="shared" ref="AV83:AV87" si="242">(AU83/AM83)*100</f>
        <v>57.49642857</v>
      </c>
      <c r="AW83" s="59">
        <f t="shared" ref="AW83:AW87" si="243">AM83-AL83-AO83-AQ83-AR83</f>
        <v>14.924</v>
      </c>
      <c r="AX83" s="14">
        <f t="shared" ref="AX83:AX87" si="244">(AW83/AM83)*100</f>
        <v>53.3</v>
      </c>
    </row>
    <row r="84" hidden="1" outlineLevel="2">
      <c r="A84" s="90"/>
      <c r="B84" s="92"/>
      <c r="C84" s="94">
        <v>60.0</v>
      </c>
      <c r="E84" s="57">
        <v>3.1</v>
      </c>
      <c r="F84" s="6">
        <v>1000.0</v>
      </c>
      <c r="G84" s="6">
        <v>200.0</v>
      </c>
      <c r="H84" s="6">
        <f t="shared" si="225"/>
        <v>800</v>
      </c>
      <c r="I84" s="6">
        <v>500.0</v>
      </c>
      <c r="J84" s="6">
        <f t="shared" si="226"/>
        <v>300</v>
      </c>
      <c r="K84" s="6">
        <f t="shared" si="227"/>
        <v>3100</v>
      </c>
      <c r="M84" s="6">
        <v>50.0</v>
      </c>
      <c r="N84" s="14">
        <f t="shared" si="228"/>
        <v>0.25</v>
      </c>
      <c r="O84" s="6">
        <v>500.0</v>
      </c>
      <c r="P84" s="59">
        <f t="shared" si="229"/>
        <v>0.625</v>
      </c>
      <c r="Q84" s="6">
        <v>100.0</v>
      </c>
      <c r="R84" s="14">
        <f t="shared" si="230"/>
        <v>0.2</v>
      </c>
      <c r="T84" s="6">
        <v>0.4</v>
      </c>
      <c r="U84" s="14">
        <f t="shared" si="231"/>
        <v>500</v>
      </c>
      <c r="V84" s="6">
        <v>1.0</v>
      </c>
      <c r="X84" s="6">
        <v>1050.0</v>
      </c>
      <c r="Y84" s="14">
        <f t="shared" si="232"/>
        <v>1.05</v>
      </c>
      <c r="AA84" s="6">
        <v>100.0</v>
      </c>
      <c r="AB84" s="59">
        <f t="shared" si="233"/>
        <v>0.1</v>
      </c>
      <c r="AC84" s="6">
        <v>100.0</v>
      </c>
      <c r="AD84" s="59">
        <f t="shared" si="234"/>
        <v>0.1</v>
      </c>
      <c r="AE84" s="6">
        <v>1.0</v>
      </c>
      <c r="AF84" s="14">
        <f t="shared" si="235"/>
        <v>0.001</v>
      </c>
      <c r="AG84" s="6"/>
      <c r="AH84" s="6">
        <v>550.0</v>
      </c>
      <c r="AI84" s="59">
        <f t="shared" si="236"/>
        <v>0.55</v>
      </c>
      <c r="AJ84" s="88">
        <f t="shared" si="237"/>
        <v>5.551</v>
      </c>
      <c r="AK84" s="59">
        <f t="shared" si="238"/>
        <v>5.551</v>
      </c>
      <c r="AL84" s="59">
        <f t="shared" si="239"/>
        <v>6.726</v>
      </c>
      <c r="AM84" s="6">
        <v>28.0</v>
      </c>
      <c r="AO84" s="59">
        <f t="shared" si="240"/>
        <v>4.2</v>
      </c>
      <c r="AQ84" s="6">
        <v>3.13</v>
      </c>
      <c r="AR84" s="6">
        <v>0.02</v>
      </c>
      <c r="AU84" s="59">
        <f t="shared" si="241"/>
        <v>15.099</v>
      </c>
      <c r="AV84" s="14">
        <f t="shared" si="242"/>
        <v>53.925</v>
      </c>
      <c r="AW84" s="59">
        <f t="shared" si="243"/>
        <v>13.924</v>
      </c>
      <c r="AX84" s="14">
        <f t="shared" si="244"/>
        <v>49.72857143</v>
      </c>
    </row>
    <row r="85" hidden="1" outlineLevel="2">
      <c r="A85" s="90"/>
      <c r="B85" s="92"/>
      <c r="C85" s="93">
        <v>90.0</v>
      </c>
      <c r="E85" s="57">
        <v>4.07</v>
      </c>
      <c r="F85" s="6">
        <v>1000.0</v>
      </c>
      <c r="G85" s="6">
        <v>200.0</v>
      </c>
      <c r="H85" s="6">
        <f t="shared" si="225"/>
        <v>800</v>
      </c>
      <c r="I85" s="6">
        <v>500.0</v>
      </c>
      <c r="J85" s="6">
        <f t="shared" si="226"/>
        <v>300</v>
      </c>
      <c r="K85" s="6">
        <f t="shared" si="227"/>
        <v>4070</v>
      </c>
      <c r="M85" s="6">
        <v>50.0</v>
      </c>
      <c r="N85" s="14">
        <f t="shared" si="228"/>
        <v>0.25</v>
      </c>
      <c r="O85" s="6">
        <v>500.0</v>
      </c>
      <c r="P85" s="59">
        <f t="shared" si="229"/>
        <v>0.625</v>
      </c>
      <c r="Q85" s="6">
        <v>100.0</v>
      </c>
      <c r="R85" s="14">
        <f t="shared" si="230"/>
        <v>0.2</v>
      </c>
      <c r="T85" s="6">
        <v>0.4</v>
      </c>
      <c r="U85" s="14">
        <f t="shared" si="231"/>
        <v>500</v>
      </c>
      <c r="V85" s="6">
        <v>1.0</v>
      </c>
      <c r="X85" s="6">
        <v>1050.0</v>
      </c>
      <c r="Y85" s="14">
        <f t="shared" si="232"/>
        <v>1.05</v>
      </c>
      <c r="AA85" s="6">
        <v>100.0</v>
      </c>
      <c r="AB85" s="59">
        <f t="shared" si="233"/>
        <v>0.1</v>
      </c>
      <c r="AC85" s="6">
        <v>100.0</v>
      </c>
      <c r="AD85" s="59">
        <f t="shared" si="234"/>
        <v>0.1</v>
      </c>
      <c r="AE85" s="6">
        <v>1.0</v>
      </c>
      <c r="AF85" s="14">
        <f t="shared" si="235"/>
        <v>0.001</v>
      </c>
      <c r="AG85" s="6"/>
      <c r="AH85" s="6">
        <v>550.0</v>
      </c>
      <c r="AI85" s="59">
        <f t="shared" si="236"/>
        <v>0.55</v>
      </c>
      <c r="AJ85" s="88">
        <f t="shared" si="237"/>
        <v>6.521</v>
      </c>
      <c r="AK85" s="59">
        <f t="shared" si="238"/>
        <v>6.521</v>
      </c>
      <c r="AL85" s="59">
        <f t="shared" si="239"/>
        <v>7.696</v>
      </c>
      <c r="AM85" s="6">
        <v>28.0</v>
      </c>
      <c r="AO85" s="59">
        <f t="shared" si="240"/>
        <v>4.2</v>
      </c>
      <c r="AQ85" s="6">
        <v>3.13</v>
      </c>
      <c r="AR85" s="6">
        <v>0.02</v>
      </c>
      <c r="AU85" s="59">
        <f t="shared" si="241"/>
        <v>14.129</v>
      </c>
      <c r="AV85" s="14">
        <f t="shared" si="242"/>
        <v>50.46071429</v>
      </c>
      <c r="AW85" s="59">
        <f t="shared" si="243"/>
        <v>12.954</v>
      </c>
      <c r="AX85" s="14">
        <f t="shared" si="244"/>
        <v>46.26428571</v>
      </c>
    </row>
    <row r="86" hidden="1" outlineLevel="2">
      <c r="A86" s="90"/>
      <c r="B86" s="92"/>
      <c r="C86" s="93">
        <v>120.0</v>
      </c>
      <c r="E86" s="57">
        <v>5.21</v>
      </c>
      <c r="F86" s="6">
        <v>1000.0</v>
      </c>
      <c r="G86" s="6">
        <v>200.0</v>
      </c>
      <c r="H86" s="6">
        <f t="shared" si="225"/>
        <v>800</v>
      </c>
      <c r="I86" s="6">
        <v>500.0</v>
      </c>
      <c r="J86" s="6">
        <f t="shared" si="226"/>
        <v>300</v>
      </c>
      <c r="K86" s="6">
        <f t="shared" si="227"/>
        <v>5210</v>
      </c>
      <c r="M86" s="6">
        <v>50.0</v>
      </c>
      <c r="N86" s="14">
        <f t="shared" si="228"/>
        <v>0.25</v>
      </c>
      <c r="O86" s="6">
        <v>500.0</v>
      </c>
      <c r="P86" s="59">
        <f t="shared" si="229"/>
        <v>0.625</v>
      </c>
      <c r="Q86" s="6">
        <v>100.0</v>
      </c>
      <c r="R86" s="14">
        <f t="shared" si="230"/>
        <v>0.2</v>
      </c>
      <c r="T86" s="6">
        <v>0.4</v>
      </c>
      <c r="U86" s="14">
        <f t="shared" si="231"/>
        <v>500</v>
      </c>
      <c r="V86" s="6">
        <v>1.0</v>
      </c>
      <c r="X86" s="6">
        <v>1050.0</v>
      </c>
      <c r="Y86" s="14">
        <f t="shared" si="232"/>
        <v>1.05</v>
      </c>
      <c r="AA86" s="6">
        <v>100.0</v>
      </c>
      <c r="AB86" s="59">
        <f t="shared" si="233"/>
        <v>0.1</v>
      </c>
      <c r="AC86" s="6">
        <v>100.0</v>
      </c>
      <c r="AD86" s="59">
        <f t="shared" si="234"/>
        <v>0.1</v>
      </c>
      <c r="AE86" s="6">
        <v>1.0</v>
      </c>
      <c r="AF86" s="14">
        <f t="shared" si="235"/>
        <v>0.001</v>
      </c>
      <c r="AG86" s="6"/>
      <c r="AH86" s="6">
        <v>550.0</v>
      </c>
      <c r="AI86" s="59">
        <f t="shared" si="236"/>
        <v>0.55</v>
      </c>
      <c r="AJ86" s="88">
        <f t="shared" si="237"/>
        <v>7.661</v>
      </c>
      <c r="AK86" s="59">
        <f t="shared" si="238"/>
        <v>7.661</v>
      </c>
      <c r="AL86" s="59">
        <f t="shared" si="239"/>
        <v>8.836</v>
      </c>
      <c r="AM86" s="6">
        <v>28.0</v>
      </c>
      <c r="AO86" s="59">
        <f t="shared" si="240"/>
        <v>4.2</v>
      </c>
      <c r="AQ86" s="6">
        <v>3.13</v>
      </c>
      <c r="AR86" s="6">
        <v>0.02</v>
      </c>
      <c r="AU86" s="59">
        <f t="shared" si="241"/>
        <v>12.989</v>
      </c>
      <c r="AV86" s="14">
        <f t="shared" si="242"/>
        <v>46.38928571</v>
      </c>
      <c r="AW86" s="59">
        <f t="shared" si="243"/>
        <v>11.814</v>
      </c>
      <c r="AX86" s="14">
        <f t="shared" si="244"/>
        <v>42.19285714</v>
      </c>
    </row>
    <row r="87" hidden="1" outlineLevel="2">
      <c r="A87" s="90"/>
      <c r="B87" s="92"/>
      <c r="C87" s="93">
        <v>180.0</v>
      </c>
      <c r="E87" s="95">
        <v>6.8</v>
      </c>
      <c r="F87" s="6">
        <v>1000.0</v>
      </c>
      <c r="G87" s="6">
        <v>200.0</v>
      </c>
      <c r="H87" s="6">
        <f t="shared" si="225"/>
        <v>800</v>
      </c>
      <c r="I87" s="6">
        <v>500.0</v>
      </c>
      <c r="J87" s="6">
        <f t="shared" si="226"/>
        <v>300</v>
      </c>
      <c r="K87" s="6">
        <f t="shared" si="227"/>
        <v>6800</v>
      </c>
      <c r="M87" s="6">
        <v>50.0</v>
      </c>
      <c r="N87" s="14">
        <f t="shared" si="228"/>
        <v>0.25</v>
      </c>
      <c r="O87" s="6">
        <v>500.0</v>
      </c>
      <c r="P87" s="59">
        <f t="shared" si="229"/>
        <v>0.625</v>
      </c>
      <c r="Q87" s="6">
        <v>100.0</v>
      </c>
      <c r="R87" s="14">
        <f t="shared" si="230"/>
        <v>0.2</v>
      </c>
      <c r="T87" s="6">
        <v>0.4</v>
      </c>
      <c r="U87" s="14">
        <f t="shared" si="231"/>
        <v>500</v>
      </c>
      <c r="V87" s="6">
        <v>1.0</v>
      </c>
      <c r="X87" s="6">
        <v>1050.0</v>
      </c>
      <c r="Y87" s="14">
        <f t="shared" si="232"/>
        <v>1.05</v>
      </c>
      <c r="AA87" s="6">
        <v>100.0</v>
      </c>
      <c r="AB87" s="59">
        <f t="shared" si="233"/>
        <v>0.1</v>
      </c>
      <c r="AC87" s="6">
        <v>100.0</v>
      </c>
      <c r="AD87" s="59">
        <f t="shared" si="234"/>
        <v>0.1</v>
      </c>
      <c r="AE87" s="6">
        <v>1.0</v>
      </c>
      <c r="AF87" s="14">
        <f t="shared" si="235"/>
        <v>0.001</v>
      </c>
      <c r="AG87" s="6"/>
      <c r="AH87" s="6">
        <v>550.0</v>
      </c>
      <c r="AI87" s="59">
        <f t="shared" si="236"/>
        <v>0.55</v>
      </c>
      <c r="AJ87" s="88">
        <f t="shared" si="237"/>
        <v>9.251</v>
      </c>
      <c r="AK87" s="59">
        <f t="shared" si="238"/>
        <v>9.251</v>
      </c>
      <c r="AL87" s="59">
        <f t="shared" si="239"/>
        <v>10.426</v>
      </c>
      <c r="AM87" s="6">
        <v>28.0</v>
      </c>
      <c r="AO87" s="59">
        <f t="shared" si="240"/>
        <v>4.2</v>
      </c>
      <c r="AQ87" s="6">
        <v>3.13</v>
      </c>
      <c r="AR87" s="6">
        <v>0.02</v>
      </c>
      <c r="AU87" s="59">
        <f t="shared" si="241"/>
        <v>11.399</v>
      </c>
      <c r="AV87" s="14">
        <f t="shared" si="242"/>
        <v>40.71071429</v>
      </c>
      <c r="AW87" s="59">
        <f t="shared" si="243"/>
        <v>10.224</v>
      </c>
      <c r="AX87" s="14">
        <f t="shared" si="244"/>
        <v>36.51428571</v>
      </c>
    </row>
    <row r="88" hidden="1" outlineLevel="1">
      <c r="A88" s="90"/>
      <c r="B88" s="92" t="s">
        <v>195</v>
      </c>
      <c r="C88" s="90"/>
      <c r="P88" s="59"/>
      <c r="AB88" s="59"/>
      <c r="AD88" s="59"/>
      <c r="AI88" s="59"/>
      <c r="AJ88" s="91"/>
      <c r="AK88" s="59"/>
      <c r="AO88" s="59"/>
    </row>
    <row r="89" hidden="1" outlineLevel="2">
      <c r="A89" s="90"/>
      <c r="B89" s="92"/>
      <c r="C89" s="93">
        <v>30.0</v>
      </c>
      <c r="E89" s="57">
        <v>2.1</v>
      </c>
      <c r="F89" s="6">
        <v>1000.0</v>
      </c>
      <c r="G89" s="6">
        <v>200.0</v>
      </c>
      <c r="H89" s="6">
        <f t="shared" ref="H89:H93" si="245">F89-G89</f>
        <v>800</v>
      </c>
      <c r="I89" s="6">
        <v>500.0</v>
      </c>
      <c r="J89" s="6">
        <f t="shared" ref="J89:J93" si="246">H89-I89</f>
        <v>300</v>
      </c>
      <c r="K89" s="6">
        <f t="shared" ref="K89:K93" si="247">F89*E89</f>
        <v>2100</v>
      </c>
      <c r="M89" s="6">
        <v>50.0</v>
      </c>
      <c r="N89" s="14">
        <f t="shared" ref="N89:N93" si="248">M89/G89</f>
        <v>0.25</v>
      </c>
      <c r="O89" s="6">
        <v>500.0</v>
      </c>
      <c r="P89" s="59">
        <f t="shared" ref="P89:P93" si="249">O89/H89</f>
        <v>0.625</v>
      </c>
      <c r="Q89" s="6">
        <v>100.0</v>
      </c>
      <c r="R89" s="14">
        <f t="shared" ref="R89:R93" si="250">Q89/I89</f>
        <v>0.2</v>
      </c>
      <c r="T89" s="6">
        <v>0.4</v>
      </c>
      <c r="U89" s="14">
        <f t="shared" ref="U89:U93" si="251">V89*I89</f>
        <v>500</v>
      </c>
      <c r="V89" s="6">
        <v>1.0</v>
      </c>
      <c r="X89" s="6">
        <v>1050.0</v>
      </c>
      <c r="Y89" s="14">
        <f t="shared" ref="Y89:Y93" si="252">X89/F89</f>
        <v>1.05</v>
      </c>
      <c r="AA89" s="6">
        <v>100.0</v>
      </c>
      <c r="AB89" s="59">
        <f t="shared" ref="AB89:AB93" si="253">AA89/F89</f>
        <v>0.1</v>
      </c>
      <c r="AC89" s="6">
        <v>100.0</v>
      </c>
      <c r="AD89" s="59">
        <f t="shared" ref="AD89:AD93" si="254">AC89/F89</f>
        <v>0.1</v>
      </c>
      <c r="AE89" s="6">
        <v>1.0</v>
      </c>
      <c r="AF89" s="14">
        <f t="shared" ref="AF89:AF93" si="255">AE89/F89</f>
        <v>0.001</v>
      </c>
      <c r="AG89" s="6"/>
      <c r="AH89" s="6">
        <v>800.0</v>
      </c>
      <c r="AI89" s="59">
        <f t="shared" ref="AI89:AI93" si="256">AH89/F89</f>
        <v>0.8</v>
      </c>
      <c r="AJ89" s="88">
        <f t="shared" ref="AJ89:AJ93" si="257">AK89</f>
        <v>4.801</v>
      </c>
      <c r="AK89" s="59">
        <f t="shared" ref="AK89:AK93" si="258">E89+N89+T89+Y89+AB89+AD89+AF89+AI89</f>
        <v>4.801</v>
      </c>
      <c r="AL89" s="59">
        <f t="shared" ref="AL89:AL93" si="259">E89+P89+R89+V89+Y89+AB89+AD89+AF89+AI89</f>
        <v>5.976</v>
      </c>
      <c r="AM89" s="6">
        <v>20.0</v>
      </c>
      <c r="AO89" s="59">
        <f t="shared" ref="AO89:AO93" si="260">AM89*0.15</f>
        <v>3</v>
      </c>
      <c r="AQ89" s="6">
        <v>3.13</v>
      </c>
      <c r="AR89" s="6">
        <v>0.02</v>
      </c>
      <c r="AU89" s="59">
        <f t="shared" ref="AU89:AU93" si="261">AM89-AK89-AO89-AQ89-AR89</f>
        <v>9.049</v>
      </c>
      <c r="AV89" s="14">
        <f t="shared" ref="AV89:AV93" si="262">(AU89/AM89)*100</f>
        <v>45.245</v>
      </c>
      <c r="AW89" s="59">
        <f t="shared" ref="AW89:AW93" si="263">AM89-AL89-AO89-AQ89-AR89</f>
        <v>7.874</v>
      </c>
      <c r="AX89" s="14">
        <f t="shared" ref="AX89:AX93" si="264">(AW89/AM89)*100</f>
        <v>39.37</v>
      </c>
    </row>
    <row r="90" hidden="1" outlineLevel="2">
      <c r="A90" s="90"/>
      <c r="B90" s="92"/>
      <c r="C90" s="94">
        <v>60.0</v>
      </c>
      <c r="E90" s="57">
        <v>3.1</v>
      </c>
      <c r="F90" s="6">
        <v>1000.0</v>
      </c>
      <c r="G90" s="6">
        <v>200.0</v>
      </c>
      <c r="H90" s="6">
        <f t="shared" si="245"/>
        <v>800</v>
      </c>
      <c r="I90" s="6">
        <v>500.0</v>
      </c>
      <c r="J90" s="6">
        <f t="shared" si="246"/>
        <v>300</v>
      </c>
      <c r="K90" s="6">
        <f t="shared" si="247"/>
        <v>3100</v>
      </c>
      <c r="M90" s="6">
        <v>50.0</v>
      </c>
      <c r="N90" s="14">
        <f t="shared" si="248"/>
        <v>0.25</v>
      </c>
      <c r="O90" s="6">
        <v>500.0</v>
      </c>
      <c r="P90" s="59">
        <f t="shared" si="249"/>
        <v>0.625</v>
      </c>
      <c r="Q90" s="6">
        <v>100.0</v>
      </c>
      <c r="R90" s="14">
        <f t="shared" si="250"/>
        <v>0.2</v>
      </c>
      <c r="T90" s="6">
        <v>0.4</v>
      </c>
      <c r="U90" s="14">
        <f t="shared" si="251"/>
        <v>500</v>
      </c>
      <c r="V90" s="6">
        <v>1.0</v>
      </c>
      <c r="X90" s="6">
        <v>1050.0</v>
      </c>
      <c r="Y90" s="14">
        <f t="shared" si="252"/>
        <v>1.05</v>
      </c>
      <c r="AA90" s="6">
        <v>100.0</v>
      </c>
      <c r="AB90" s="59">
        <f t="shared" si="253"/>
        <v>0.1</v>
      </c>
      <c r="AC90" s="6">
        <v>100.0</v>
      </c>
      <c r="AD90" s="59">
        <f t="shared" si="254"/>
        <v>0.1</v>
      </c>
      <c r="AE90" s="6">
        <v>1.0</v>
      </c>
      <c r="AF90" s="14">
        <f t="shared" si="255"/>
        <v>0.001</v>
      </c>
      <c r="AG90" s="6"/>
      <c r="AH90" s="6">
        <v>800.0</v>
      </c>
      <c r="AI90" s="59">
        <f t="shared" si="256"/>
        <v>0.8</v>
      </c>
      <c r="AJ90" s="88">
        <f t="shared" si="257"/>
        <v>5.801</v>
      </c>
      <c r="AK90" s="59">
        <f t="shared" si="258"/>
        <v>5.801</v>
      </c>
      <c r="AL90" s="59">
        <f t="shared" si="259"/>
        <v>6.976</v>
      </c>
      <c r="AM90" s="6">
        <v>20.0</v>
      </c>
      <c r="AO90" s="59">
        <f t="shared" si="260"/>
        <v>3</v>
      </c>
      <c r="AQ90" s="6">
        <v>3.13</v>
      </c>
      <c r="AR90" s="6">
        <v>0.02</v>
      </c>
      <c r="AU90" s="59">
        <f t="shared" si="261"/>
        <v>8.049</v>
      </c>
      <c r="AV90" s="14">
        <f t="shared" si="262"/>
        <v>40.245</v>
      </c>
      <c r="AW90" s="59">
        <f t="shared" si="263"/>
        <v>6.874</v>
      </c>
      <c r="AX90" s="14">
        <f t="shared" si="264"/>
        <v>34.37</v>
      </c>
    </row>
    <row r="91" hidden="1" outlineLevel="2">
      <c r="A91" s="90"/>
      <c r="B91" s="92"/>
      <c r="C91" s="93">
        <v>90.0</v>
      </c>
      <c r="E91" s="57">
        <v>4.07</v>
      </c>
      <c r="F91" s="6">
        <v>1000.0</v>
      </c>
      <c r="G91" s="6">
        <v>200.0</v>
      </c>
      <c r="H91" s="6">
        <f t="shared" si="245"/>
        <v>800</v>
      </c>
      <c r="I91" s="6">
        <v>500.0</v>
      </c>
      <c r="J91" s="6">
        <f t="shared" si="246"/>
        <v>300</v>
      </c>
      <c r="K91" s="6">
        <f t="shared" si="247"/>
        <v>4070</v>
      </c>
      <c r="M91" s="6">
        <v>50.0</v>
      </c>
      <c r="N91" s="14">
        <f t="shared" si="248"/>
        <v>0.25</v>
      </c>
      <c r="O91" s="6">
        <v>500.0</v>
      </c>
      <c r="P91" s="59">
        <f t="shared" si="249"/>
        <v>0.625</v>
      </c>
      <c r="Q91" s="6">
        <v>100.0</v>
      </c>
      <c r="R91" s="14">
        <f t="shared" si="250"/>
        <v>0.2</v>
      </c>
      <c r="T91" s="6">
        <v>0.4</v>
      </c>
      <c r="U91" s="14">
        <f t="shared" si="251"/>
        <v>500</v>
      </c>
      <c r="V91" s="6">
        <v>1.0</v>
      </c>
      <c r="X91" s="6">
        <v>1050.0</v>
      </c>
      <c r="Y91" s="14">
        <f t="shared" si="252"/>
        <v>1.05</v>
      </c>
      <c r="AA91" s="6">
        <v>100.0</v>
      </c>
      <c r="AB91" s="59">
        <f t="shared" si="253"/>
        <v>0.1</v>
      </c>
      <c r="AC91" s="6">
        <v>100.0</v>
      </c>
      <c r="AD91" s="59">
        <f t="shared" si="254"/>
        <v>0.1</v>
      </c>
      <c r="AE91" s="6">
        <v>1.0</v>
      </c>
      <c r="AF91" s="14">
        <f t="shared" si="255"/>
        <v>0.001</v>
      </c>
      <c r="AG91" s="6"/>
      <c r="AH91" s="6">
        <v>800.0</v>
      </c>
      <c r="AI91" s="59">
        <f t="shared" si="256"/>
        <v>0.8</v>
      </c>
      <c r="AJ91" s="88">
        <f t="shared" si="257"/>
        <v>6.771</v>
      </c>
      <c r="AK91" s="59">
        <f t="shared" si="258"/>
        <v>6.771</v>
      </c>
      <c r="AL91" s="59">
        <f t="shared" si="259"/>
        <v>7.946</v>
      </c>
      <c r="AM91" s="6">
        <v>20.0</v>
      </c>
      <c r="AO91" s="59">
        <f t="shared" si="260"/>
        <v>3</v>
      </c>
      <c r="AQ91" s="6">
        <v>3.13</v>
      </c>
      <c r="AR91" s="6">
        <v>0.02</v>
      </c>
      <c r="AU91" s="59">
        <f t="shared" si="261"/>
        <v>7.079</v>
      </c>
      <c r="AV91" s="14">
        <f t="shared" si="262"/>
        <v>35.395</v>
      </c>
      <c r="AW91" s="59">
        <f t="shared" si="263"/>
        <v>5.904</v>
      </c>
      <c r="AX91" s="14">
        <f t="shared" si="264"/>
        <v>29.52</v>
      </c>
    </row>
    <row r="92" hidden="1" outlineLevel="2">
      <c r="A92" s="90"/>
      <c r="B92" s="92"/>
      <c r="C92" s="93">
        <v>120.0</v>
      </c>
      <c r="E92" s="57">
        <v>5.21</v>
      </c>
      <c r="F92" s="6">
        <v>1000.0</v>
      </c>
      <c r="G92" s="6">
        <v>200.0</v>
      </c>
      <c r="H92" s="6">
        <f t="shared" si="245"/>
        <v>800</v>
      </c>
      <c r="I92" s="6">
        <v>500.0</v>
      </c>
      <c r="J92" s="6">
        <f t="shared" si="246"/>
        <v>300</v>
      </c>
      <c r="K92" s="6">
        <f t="shared" si="247"/>
        <v>5210</v>
      </c>
      <c r="M92" s="6">
        <v>50.0</v>
      </c>
      <c r="N92" s="14">
        <f t="shared" si="248"/>
        <v>0.25</v>
      </c>
      <c r="O92" s="6">
        <v>500.0</v>
      </c>
      <c r="P92" s="59">
        <f t="shared" si="249"/>
        <v>0.625</v>
      </c>
      <c r="Q92" s="6">
        <v>100.0</v>
      </c>
      <c r="R92" s="14">
        <f t="shared" si="250"/>
        <v>0.2</v>
      </c>
      <c r="T92" s="6">
        <v>0.4</v>
      </c>
      <c r="U92" s="14">
        <f t="shared" si="251"/>
        <v>500</v>
      </c>
      <c r="V92" s="6">
        <v>1.0</v>
      </c>
      <c r="X92" s="6">
        <v>1050.0</v>
      </c>
      <c r="Y92" s="14">
        <f t="shared" si="252"/>
        <v>1.05</v>
      </c>
      <c r="AA92" s="6">
        <v>100.0</v>
      </c>
      <c r="AB92" s="59">
        <f t="shared" si="253"/>
        <v>0.1</v>
      </c>
      <c r="AC92" s="6">
        <v>100.0</v>
      </c>
      <c r="AD92" s="59">
        <f t="shared" si="254"/>
        <v>0.1</v>
      </c>
      <c r="AE92" s="6">
        <v>1.0</v>
      </c>
      <c r="AF92" s="14">
        <f t="shared" si="255"/>
        <v>0.001</v>
      </c>
      <c r="AG92" s="6"/>
      <c r="AH92" s="6">
        <v>800.0</v>
      </c>
      <c r="AI92" s="59">
        <f t="shared" si="256"/>
        <v>0.8</v>
      </c>
      <c r="AJ92" s="88">
        <f t="shared" si="257"/>
        <v>7.911</v>
      </c>
      <c r="AK92" s="59">
        <f t="shared" si="258"/>
        <v>7.911</v>
      </c>
      <c r="AL92" s="59">
        <f t="shared" si="259"/>
        <v>9.086</v>
      </c>
      <c r="AM92" s="6">
        <v>20.0</v>
      </c>
      <c r="AO92" s="59">
        <f t="shared" si="260"/>
        <v>3</v>
      </c>
      <c r="AQ92" s="6">
        <v>3.13</v>
      </c>
      <c r="AR92" s="6">
        <v>0.02</v>
      </c>
      <c r="AU92" s="59">
        <f t="shared" si="261"/>
        <v>5.939</v>
      </c>
      <c r="AV92" s="14">
        <f t="shared" si="262"/>
        <v>29.695</v>
      </c>
      <c r="AW92" s="59">
        <f t="shared" si="263"/>
        <v>4.764</v>
      </c>
      <c r="AX92" s="14">
        <f t="shared" si="264"/>
        <v>23.82</v>
      </c>
    </row>
    <row r="93" hidden="1" outlineLevel="2">
      <c r="A93" s="90"/>
      <c r="B93" s="92"/>
      <c r="C93" s="93">
        <v>180.0</v>
      </c>
      <c r="E93" s="95">
        <v>6.8</v>
      </c>
      <c r="F93" s="6">
        <v>1000.0</v>
      </c>
      <c r="G93" s="6">
        <v>200.0</v>
      </c>
      <c r="H93" s="6">
        <f t="shared" si="245"/>
        <v>800</v>
      </c>
      <c r="I93" s="6">
        <v>500.0</v>
      </c>
      <c r="J93" s="6">
        <f t="shared" si="246"/>
        <v>300</v>
      </c>
      <c r="K93" s="6">
        <f t="shared" si="247"/>
        <v>6800</v>
      </c>
      <c r="M93" s="6">
        <v>50.0</v>
      </c>
      <c r="N93" s="14">
        <f t="shared" si="248"/>
        <v>0.25</v>
      </c>
      <c r="O93" s="6">
        <v>500.0</v>
      </c>
      <c r="P93" s="59">
        <f t="shared" si="249"/>
        <v>0.625</v>
      </c>
      <c r="Q93" s="6">
        <v>100.0</v>
      </c>
      <c r="R93" s="14">
        <f t="shared" si="250"/>
        <v>0.2</v>
      </c>
      <c r="T93" s="6">
        <v>0.4</v>
      </c>
      <c r="U93" s="14">
        <f t="shared" si="251"/>
        <v>500</v>
      </c>
      <c r="V93" s="6">
        <v>1.0</v>
      </c>
      <c r="X93" s="6">
        <v>1050.0</v>
      </c>
      <c r="Y93" s="14">
        <f t="shared" si="252"/>
        <v>1.05</v>
      </c>
      <c r="AA93" s="6">
        <v>100.0</v>
      </c>
      <c r="AB93" s="59">
        <f t="shared" si="253"/>
        <v>0.1</v>
      </c>
      <c r="AC93" s="6">
        <v>100.0</v>
      </c>
      <c r="AD93" s="59">
        <f t="shared" si="254"/>
        <v>0.1</v>
      </c>
      <c r="AE93" s="6">
        <v>1.0</v>
      </c>
      <c r="AF93" s="14">
        <f t="shared" si="255"/>
        <v>0.001</v>
      </c>
      <c r="AG93" s="6"/>
      <c r="AH93" s="6">
        <v>800.0</v>
      </c>
      <c r="AI93" s="59">
        <f t="shared" si="256"/>
        <v>0.8</v>
      </c>
      <c r="AJ93" s="88">
        <f t="shared" si="257"/>
        <v>9.501</v>
      </c>
      <c r="AK93" s="59">
        <f t="shared" si="258"/>
        <v>9.501</v>
      </c>
      <c r="AL93" s="59">
        <f t="shared" si="259"/>
        <v>10.676</v>
      </c>
      <c r="AM93" s="6">
        <v>20.0</v>
      </c>
      <c r="AO93" s="59">
        <f t="shared" si="260"/>
        <v>3</v>
      </c>
      <c r="AQ93" s="6">
        <v>3.13</v>
      </c>
      <c r="AR93" s="6">
        <v>0.02</v>
      </c>
      <c r="AU93" s="59">
        <f t="shared" si="261"/>
        <v>4.349</v>
      </c>
      <c r="AV93" s="14">
        <f t="shared" si="262"/>
        <v>21.745</v>
      </c>
      <c r="AW93" s="59">
        <f t="shared" si="263"/>
        <v>3.174</v>
      </c>
      <c r="AX93" s="14">
        <f t="shared" si="264"/>
        <v>15.87</v>
      </c>
    </row>
    <row r="94" hidden="1" outlineLevel="1">
      <c r="A94" s="90"/>
      <c r="B94" s="92" t="s">
        <v>196</v>
      </c>
      <c r="C94" s="90"/>
      <c r="P94" s="59"/>
      <c r="AB94" s="59"/>
      <c r="AD94" s="59"/>
      <c r="AI94" s="59"/>
      <c r="AJ94" s="91"/>
      <c r="AK94" s="59"/>
      <c r="AO94" s="59"/>
    </row>
    <row r="95" hidden="1" outlineLevel="2">
      <c r="A95" s="90"/>
      <c r="B95" s="92"/>
      <c r="C95" s="93">
        <v>30.0</v>
      </c>
      <c r="E95" s="57">
        <v>2.1</v>
      </c>
      <c r="F95" s="6">
        <v>1000.0</v>
      </c>
      <c r="G95" s="6">
        <v>200.0</v>
      </c>
      <c r="H95" s="6">
        <f t="shared" ref="H95:H99" si="265">F95-G95</f>
        <v>800</v>
      </c>
      <c r="I95" s="6">
        <v>500.0</v>
      </c>
      <c r="J95" s="6">
        <f t="shared" ref="J95:J99" si="266">H95-I95</f>
        <v>300</v>
      </c>
      <c r="K95" s="6">
        <f t="shared" ref="K95:K99" si="267">F95*E95</f>
        <v>2100</v>
      </c>
      <c r="M95" s="6">
        <v>50.0</v>
      </c>
      <c r="N95" s="14">
        <f t="shared" ref="N95:N99" si="268">M95/G95</f>
        <v>0.25</v>
      </c>
      <c r="O95" s="6">
        <v>500.0</v>
      </c>
      <c r="P95" s="59">
        <f t="shared" ref="P95:P99" si="269">O95/H95</f>
        <v>0.625</v>
      </c>
      <c r="Q95" s="6">
        <v>100.0</v>
      </c>
      <c r="R95" s="14">
        <f t="shared" ref="R95:R99" si="270">Q95/I95</f>
        <v>0.2</v>
      </c>
      <c r="T95" s="6">
        <v>0.4</v>
      </c>
      <c r="U95" s="14">
        <f t="shared" ref="U95:U99" si="271">V95*I95</f>
        <v>500</v>
      </c>
      <c r="V95" s="6">
        <v>1.0</v>
      </c>
      <c r="X95" s="6">
        <v>1050.0</v>
      </c>
      <c r="Y95" s="14">
        <f t="shared" ref="Y95:Y99" si="272">X95/F95</f>
        <v>1.05</v>
      </c>
      <c r="AA95" s="6">
        <v>100.0</v>
      </c>
      <c r="AB95" s="59">
        <f t="shared" ref="AB95:AB99" si="273">AA95/F95</f>
        <v>0.1</v>
      </c>
      <c r="AC95" s="6">
        <v>100.0</v>
      </c>
      <c r="AD95" s="59">
        <f t="shared" ref="AD95:AD99" si="274">AC95/F95</f>
        <v>0.1</v>
      </c>
      <c r="AE95" s="6">
        <v>1.0</v>
      </c>
      <c r="AF95" s="14">
        <f t="shared" ref="AF95:AF99" si="275">AE95/F95</f>
        <v>0.001</v>
      </c>
      <c r="AG95" s="6"/>
      <c r="AH95" s="6">
        <v>800.0</v>
      </c>
      <c r="AI95" s="59">
        <f t="shared" ref="AI95:AI99" si="276">AH95/F95</f>
        <v>0.8</v>
      </c>
      <c r="AJ95" s="88">
        <f t="shared" ref="AJ95:AJ99" si="277">AK95</f>
        <v>4.801</v>
      </c>
      <c r="AK95" s="59">
        <f t="shared" ref="AK95:AK99" si="278">E95+N95+T95+Y95+AB95+AD95+AF95+AI95</f>
        <v>4.801</v>
      </c>
      <c r="AL95" s="59">
        <f t="shared" ref="AL95:AL99" si="279">E95+P95+R95+V95+Y95+AB95+AD95+AF95+AI95</f>
        <v>5.976</v>
      </c>
      <c r="AM95" s="6">
        <v>25.0</v>
      </c>
      <c r="AO95" s="59">
        <f t="shared" ref="AO95:AO99" si="280">AM95*0.15</f>
        <v>3.75</v>
      </c>
      <c r="AQ95" s="6">
        <v>3.13</v>
      </c>
      <c r="AR95" s="6">
        <v>0.02</v>
      </c>
      <c r="AU95" s="59">
        <f t="shared" ref="AU95:AU99" si="281">AM95-AK95-AO95-AQ95-AR95</f>
        <v>13.299</v>
      </c>
      <c r="AV95" s="14">
        <f t="shared" ref="AV95:AV99" si="282">(AU95/AM95)*100</f>
        <v>53.196</v>
      </c>
      <c r="AW95" s="59">
        <f t="shared" ref="AW95:AW99" si="283">AM95-AL95-AO95-AQ95-AR95</f>
        <v>12.124</v>
      </c>
      <c r="AX95" s="14">
        <f t="shared" ref="AX95:AX99" si="284">(AW95/AM95)*100</f>
        <v>48.496</v>
      </c>
    </row>
    <row r="96" hidden="1" outlineLevel="2">
      <c r="A96" s="90"/>
      <c r="B96" s="92"/>
      <c r="C96" s="94">
        <v>60.0</v>
      </c>
      <c r="E96" s="57">
        <v>3.1</v>
      </c>
      <c r="F96" s="6">
        <v>1000.0</v>
      </c>
      <c r="G96" s="6">
        <v>200.0</v>
      </c>
      <c r="H96" s="6">
        <f t="shared" si="265"/>
        <v>800</v>
      </c>
      <c r="I96" s="6">
        <v>500.0</v>
      </c>
      <c r="J96" s="6">
        <f t="shared" si="266"/>
        <v>300</v>
      </c>
      <c r="K96" s="6">
        <f t="shared" si="267"/>
        <v>3100</v>
      </c>
      <c r="M96" s="6">
        <v>50.0</v>
      </c>
      <c r="N96" s="14">
        <f t="shared" si="268"/>
        <v>0.25</v>
      </c>
      <c r="O96" s="6">
        <v>500.0</v>
      </c>
      <c r="P96" s="59">
        <f t="shared" si="269"/>
        <v>0.625</v>
      </c>
      <c r="Q96" s="6">
        <v>100.0</v>
      </c>
      <c r="R96" s="14">
        <f t="shared" si="270"/>
        <v>0.2</v>
      </c>
      <c r="T96" s="6">
        <v>0.4</v>
      </c>
      <c r="U96" s="14">
        <f t="shared" si="271"/>
        <v>500</v>
      </c>
      <c r="V96" s="6">
        <v>1.0</v>
      </c>
      <c r="X96" s="6">
        <v>1050.0</v>
      </c>
      <c r="Y96" s="14">
        <f t="shared" si="272"/>
        <v>1.05</v>
      </c>
      <c r="AA96" s="6">
        <v>100.0</v>
      </c>
      <c r="AB96" s="59">
        <f t="shared" si="273"/>
        <v>0.1</v>
      </c>
      <c r="AC96" s="6">
        <v>100.0</v>
      </c>
      <c r="AD96" s="59">
        <f t="shared" si="274"/>
        <v>0.1</v>
      </c>
      <c r="AE96" s="6">
        <v>1.0</v>
      </c>
      <c r="AF96" s="14">
        <f t="shared" si="275"/>
        <v>0.001</v>
      </c>
      <c r="AG96" s="6"/>
      <c r="AH96" s="6">
        <v>800.0</v>
      </c>
      <c r="AI96" s="59">
        <f t="shared" si="276"/>
        <v>0.8</v>
      </c>
      <c r="AJ96" s="88">
        <f t="shared" si="277"/>
        <v>5.801</v>
      </c>
      <c r="AK96" s="59">
        <f t="shared" si="278"/>
        <v>5.801</v>
      </c>
      <c r="AL96" s="59">
        <f t="shared" si="279"/>
        <v>6.976</v>
      </c>
      <c r="AM96" s="6">
        <v>25.0</v>
      </c>
      <c r="AO96" s="59">
        <f t="shared" si="280"/>
        <v>3.75</v>
      </c>
      <c r="AQ96" s="6">
        <v>3.13</v>
      </c>
      <c r="AR96" s="6">
        <v>0.02</v>
      </c>
      <c r="AU96" s="59">
        <f t="shared" si="281"/>
        <v>12.299</v>
      </c>
      <c r="AV96" s="14">
        <f t="shared" si="282"/>
        <v>49.196</v>
      </c>
      <c r="AW96" s="59">
        <f t="shared" si="283"/>
        <v>11.124</v>
      </c>
      <c r="AX96" s="14">
        <f t="shared" si="284"/>
        <v>44.496</v>
      </c>
    </row>
    <row r="97" hidden="1" outlineLevel="2">
      <c r="A97" s="90"/>
      <c r="B97" s="92"/>
      <c r="C97" s="93">
        <v>90.0</v>
      </c>
      <c r="E97" s="57">
        <v>4.07</v>
      </c>
      <c r="F97" s="6">
        <v>1000.0</v>
      </c>
      <c r="G97" s="6">
        <v>200.0</v>
      </c>
      <c r="H97" s="6">
        <f t="shared" si="265"/>
        <v>800</v>
      </c>
      <c r="I97" s="6">
        <v>500.0</v>
      </c>
      <c r="J97" s="6">
        <f t="shared" si="266"/>
        <v>300</v>
      </c>
      <c r="K97" s="6">
        <f t="shared" si="267"/>
        <v>4070</v>
      </c>
      <c r="M97" s="6">
        <v>50.0</v>
      </c>
      <c r="N97" s="14">
        <f t="shared" si="268"/>
        <v>0.25</v>
      </c>
      <c r="O97" s="6">
        <v>500.0</v>
      </c>
      <c r="P97" s="59">
        <f t="shared" si="269"/>
        <v>0.625</v>
      </c>
      <c r="Q97" s="6">
        <v>100.0</v>
      </c>
      <c r="R97" s="14">
        <f t="shared" si="270"/>
        <v>0.2</v>
      </c>
      <c r="T97" s="6">
        <v>0.4</v>
      </c>
      <c r="U97" s="14">
        <f t="shared" si="271"/>
        <v>500</v>
      </c>
      <c r="V97" s="6">
        <v>1.0</v>
      </c>
      <c r="X97" s="6">
        <v>1050.0</v>
      </c>
      <c r="Y97" s="14">
        <f t="shared" si="272"/>
        <v>1.05</v>
      </c>
      <c r="AA97" s="6">
        <v>100.0</v>
      </c>
      <c r="AB97" s="59">
        <f t="shared" si="273"/>
        <v>0.1</v>
      </c>
      <c r="AC97" s="6">
        <v>100.0</v>
      </c>
      <c r="AD97" s="59">
        <f t="shared" si="274"/>
        <v>0.1</v>
      </c>
      <c r="AE97" s="6">
        <v>1.0</v>
      </c>
      <c r="AF97" s="14">
        <f t="shared" si="275"/>
        <v>0.001</v>
      </c>
      <c r="AG97" s="6"/>
      <c r="AH97" s="6">
        <v>800.0</v>
      </c>
      <c r="AI97" s="59">
        <f t="shared" si="276"/>
        <v>0.8</v>
      </c>
      <c r="AJ97" s="88">
        <f t="shared" si="277"/>
        <v>6.771</v>
      </c>
      <c r="AK97" s="59">
        <f t="shared" si="278"/>
        <v>6.771</v>
      </c>
      <c r="AL97" s="59">
        <f t="shared" si="279"/>
        <v>7.946</v>
      </c>
      <c r="AM97" s="6">
        <v>25.0</v>
      </c>
      <c r="AO97" s="59">
        <f t="shared" si="280"/>
        <v>3.75</v>
      </c>
      <c r="AQ97" s="6">
        <v>3.13</v>
      </c>
      <c r="AR97" s="6">
        <v>0.02</v>
      </c>
      <c r="AU97" s="59">
        <f t="shared" si="281"/>
        <v>11.329</v>
      </c>
      <c r="AV97" s="14">
        <f t="shared" si="282"/>
        <v>45.316</v>
      </c>
      <c r="AW97" s="59">
        <f t="shared" si="283"/>
        <v>10.154</v>
      </c>
      <c r="AX97" s="14">
        <f t="shared" si="284"/>
        <v>40.616</v>
      </c>
    </row>
    <row r="98" hidden="1" outlineLevel="2">
      <c r="A98" s="90"/>
      <c r="B98" s="92"/>
      <c r="C98" s="93">
        <v>120.0</v>
      </c>
      <c r="E98" s="57">
        <v>5.21</v>
      </c>
      <c r="F98" s="6">
        <v>1000.0</v>
      </c>
      <c r="G98" s="6">
        <v>200.0</v>
      </c>
      <c r="H98" s="6">
        <f t="shared" si="265"/>
        <v>800</v>
      </c>
      <c r="I98" s="6">
        <v>500.0</v>
      </c>
      <c r="J98" s="6">
        <f t="shared" si="266"/>
        <v>300</v>
      </c>
      <c r="K98" s="6">
        <f t="shared" si="267"/>
        <v>5210</v>
      </c>
      <c r="M98" s="6">
        <v>50.0</v>
      </c>
      <c r="N98" s="14">
        <f t="shared" si="268"/>
        <v>0.25</v>
      </c>
      <c r="O98" s="6">
        <v>500.0</v>
      </c>
      <c r="P98" s="59">
        <f t="shared" si="269"/>
        <v>0.625</v>
      </c>
      <c r="Q98" s="6">
        <v>100.0</v>
      </c>
      <c r="R98" s="14">
        <f t="shared" si="270"/>
        <v>0.2</v>
      </c>
      <c r="T98" s="6">
        <v>0.4</v>
      </c>
      <c r="U98" s="14">
        <f t="shared" si="271"/>
        <v>500</v>
      </c>
      <c r="V98" s="6">
        <v>1.0</v>
      </c>
      <c r="X98" s="6">
        <v>1050.0</v>
      </c>
      <c r="Y98" s="14">
        <f t="shared" si="272"/>
        <v>1.05</v>
      </c>
      <c r="AA98" s="6">
        <v>100.0</v>
      </c>
      <c r="AB98" s="59">
        <f t="shared" si="273"/>
        <v>0.1</v>
      </c>
      <c r="AC98" s="6">
        <v>100.0</v>
      </c>
      <c r="AD98" s="59">
        <f t="shared" si="274"/>
        <v>0.1</v>
      </c>
      <c r="AE98" s="6">
        <v>1.0</v>
      </c>
      <c r="AF98" s="14">
        <f t="shared" si="275"/>
        <v>0.001</v>
      </c>
      <c r="AG98" s="6"/>
      <c r="AH98" s="6">
        <v>800.0</v>
      </c>
      <c r="AI98" s="59">
        <f t="shared" si="276"/>
        <v>0.8</v>
      </c>
      <c r="AJ98" s="88">
        <f t="shared" si="277"/>
        <v>7.911</v>
      </c>
      <c r="AK98" s="59">
        <f t="shared" si="278"/>
        <v>7.911</v>
      </c>
      <c r="AL98" s="59">
        <f t="shared" si="279"/>
        <v>9.086</v>
      </c>
      <c r="AM98" s="6">
        <v>25.0</v>
      </c>
      <c r="AO98" s="59">
        <f t="shared" si="280"/>
        <v>3.75</v>
      </c>
      <c r="AQ98" s="6">
        <v>3.13</v>
      </c>
      <c r="AR98" s="6">
        <v>0.02</v>
      </c>
      <c r="AU98" s="59">
        <f t="shared" si="281"/>
        <v>10.189</v>
      </c>
      <c r="AV98" s="14">
        <f t="shared" si="282"/>
        <v>40.756</v>
      </c>
      <c r="AW98" s="59">
        <f t="shared" si="283"/>
        <v>9.014</v>
      </c>
      <c r="AX98" s="14">
        <f t="shared" si="284"/>
        <v>36.056</v>
      </c>
    </row>
    <row r="99" hidden="1" outlineLevel="2">
      <c r="A99" s="90"/>
      <c r="B99" s="92"/>
      <c r="C99" s="93">
        <v>180.0</v>
      </c>
      <c r="E99" s="95">
        <v>6.8</v>
      </c>
      <c r="F99" s="6">
        <v>1000.0</v>
      </c>
      <c r="G99" s="6">
        <v>200.0</v>
      </c>
      <c r="H99" s="6">
        <f t="shared" si="265"/>
        <v>800</v>
      </c>
      <c r="I99" s="6">
        <v>500.0</v>
      </c>
      <c r="J99" s="6">
        <f t="shared" si="266"/>
        <v>300</v>
      </c>
      <c r="K99" s="6">
        <f t="shared" si="267"/>
        <v>6800</v>
      </c>
      <c r="M99" s="6">
        <v>50.0</v>
      </c>
      <c r="N99" s="14">
        <f t="shared" si="268"/>
        <v>0.25</v>
      </c>
      <c r="O99" s="6">
        <v>500.0</v>
      </c>
      <c r="P99" s="59">
        <f t="shared" si="269"/>
        <v>0.625</v>
      </c>
      <c r="Q99" s="6">
        <v>100.0</v>
      </c>
      <c r="R99" s="14">
        <f t="shared" si="270"/>
        <v>0.2</v>
      </c>
      <c r="T99" s="6">
        <v>0.4</v>
      </c>
      <c r="U99" s="14">
        <f t="shared" si="271"/>
        <v>500</v>
      </c>
      <c r="V99" s="6">
        <v>1.0</v>
      </c>
      <c r="X99" s="6">
        <v>1050.0</v>
      </c>
      <c r="Y99" s="14">
        <f t="shared" si="272"/>
        <v>1.05</v>
      </c>
      <c r="AA99" s="6">
        <v>100.0</v>
      </c>
      <c r="AB99" s="59">
        <f t="shared" si="273"/>
        <v>0.1</v>
      </c>
      <c r="AC99" s="6">
        <v>100.0</v>
      </c>
      <c r="AD99" s="59">
        <f t="shared" si="274"/>
        <v>0.1</v>
      </c>
      <c r="AE99" s="6">
        <v>1.0</v>
      </c>
      <c r="AF99" s="14">
        <f t="shared" si="275"/>
        <v>0.001</v>
      </c>
      <c r="AG99" s="6"/>
      <c r="AH99" s="6">
        <v>800.0</v>
      </c>
      <c r="AI99" s="59">
        <f t="shared" si="276"/>
        <v>0.8</v>
      </c>
      <c r="AJ99" s="88">
        <f t="shared" si="277"/>
        <v>9.501</v>
      </c>
      <c r="AK99" s="59">
        <f t="shared" si="278"/>
        <v>9.501</v>
      </c>
      <c r="AL99" s="59">
        <f t="shared" si="279"/>
        <v>10.676</v>
      </c>
      <c r="AM99" s="6">
        <v>25.0</v>
      </c>
      <c r="AO99" s="59">
        <f t="shared" si="280"/>
        <v>3.75</v>
      </c>
      <c r="AQ99" s="6">
        <v>3.13</v>
      </c>
      <c r="AR99" s="6">
        <v>0.02</v>
      </c>
      <c r="AU99" s="59">
        <f t="shared" si="281"/>
        <v>8.599</v>
      </c>
      <c r="AV99" s="14">
        <f t="shared" si="282"/>
        <v>34.396</v>
      </c>
      <c r="AW99" s="59">
        <f t="shared" si="283"/>
        <v>7.424</v>
      </c>
      <c r="AX99" s="14">
        <f t="shared" si="284"/>
        <v>29.696</v>
      </c>
    </row>
    <row r="100" hidden="1" outlineLevel="1">
      <c r="A100" s="90"/>
      <c r="B100" s="92" t="s">
        <v>197</v>
      </c>
      <c r="C100" s="90"/>
      <c r="P100" s="59"/>
      <c r="AB100" s="59"/>
      <c r="AD100" s="59"/>
      <c r="AI100" s="59"/>
      <c r="AJ100" s="91"/>
      <c r="AK100" s="59"/>
      <c r="AO100" s="59"/>
    </row>
    <row r="101" hidden="1" outlineLevel="2">
      <c r="A101" s="90"/>
      <c r="B101" s="92"/>
      <c r="C101" s="93">
        <v>30.0</v>
      </c>
      <c r="E101" s="57">
        <v>2.1</v>
      </c>
      <c r="F101" s="6">
        <v>1000.0</v>
      </c>
      <c r="G101" s="6">
        <v>200.0</v>
      </c>
      <c r="H101" s="6">
        <f t="shared" ref="H101:H105" si="285">F101-G101</f>
        <v>800</v>
      </c>
      <c r="I101" s="6">
        <v>500.0</v>
      </c>
      <c r="J101" s="6">
        <f t="shared" ref="J101:J105" si="286">H101-I101</f>
        <v>300</v>
      </c>
      <c r="K101" s="6">
        <f t="shared" ref="K101:K105" si="287">F101*E101</f>
        <v>2100</v>
      </c>
      <c r="M101" s="6">
        <v>50.0</v>
      </c>
      <c r="N101" s="14">
        <f t="shared" ref="N101:N105" si="288">M101/G101</f>
        <v>0.25</v>
      </c>
      <c r="O101" s="6">
        <v>500.0</v>
      </c>
      <c r="P101" s="59">
        <f t="shared" ref="P101:P105" si="289">O101/H101</f>
        <v>0.625</v>
      </c>
      <c r="Q101" s="6">
        <v>100.0</v>
      </c>
      <c r="R101" s="14">
        <f t="shared" ref="R101:R105" si="290">Q101/I101</f>
        <v>0.2</v>
      </c>
      <c r="T101" s="6">
        <v>0.4</v>
      </c>
      <c r="U101" s="14">
        <f t="shared" ref="U101:U105" si="291">V101*I101</f>
        <v>500</v>
      </c>
      <c r="V101" s="6">
        <v>1.0</v>
      </c>
      <c r="X101" s="6">
        <v>1050.0</v>
      </c>
      <c r="Y101" s="14">
        <f t="shared" ref="Y101:Y105" si="292">X101/F101</f>
        <v>1.05</v>
      </c>
      <c r="AA101" s="6">
        <v>100.0</v>
      </c>
      <c r="AB101" s="59">
        <f t="shared" ref="AB101:AB105" si="293">AA101/F101</f>
        <v>0.1</v>
      </c>
      <c r="AC101" s="6">
        <v>100.0</v>
      </c>
      <c r="AD101" s="59">
        <f t="shared" ref="AD101:AD105" si="294">AC101/F101</f>
        <v>0.1</v>
      </c>
      <c r="AE101" s="6">
        <v>1.0</v>
      </c>
      <c r="AF101" s="14">
        <f t="shared" ref="AF101:AF105" si="295">AE101/F101</f>
        <v>0.001</v>
      </c>
      <c r="AG101" s="6"/>
      <c r="AH101" s="6">
        <v>850.0</v>
      </c>
      <c r="AI101" s="59">
        <f t="shared" ref="AI101:AI105" si="296">AH101/F101</f>
        <v>0.85</v>
      </c>
      <c r="AJ101" s="88">
        <f t="shared" ref="AJ101:AJ105" si="297">AK101</f>
        <v>4.851</v>
      </c>
      <c r="AK101" s="59">
        <f t="shared" ref="AK101:AK105" si="298">E101+N101+T101+Y101+AB101+AD101+AF101+AI101</f>
        <v>4.851</v>
      </c>
      <c r="AL101" s="59">
        <f t="shared" ref="AL101:AL105" si="299">E101+P101+R101+V101+Y101+AB101+AD101+AF101+AI101</f>
        <v>6.026</v>
      </c>
      <c r="AM101" s="6">
        <v>19.99</v>
      </c>
      <c r="AO101" s="59">
        <f t="shared" ref="AO101:AO105" si="300">AM101*0.15</f>
        <v>2.9985</v>
      </c>
      <c r="AQ101" s="6">
        <v>3.13</v>
      </c>
      <c r="AR101" s="6">
        <v>0.02</v>
      </c>
      <c r="AU101" s="59">
        <f t="shared" ref="AU101:AU105" si="301">AM101-AK101-AO101-AQ101-AR101</f>
        <v>8.9905</v>
      </c>
      <c r="AV101" s="14">
        <f t="shared" ref="AV101:AV105" si="302">(AU101/AM101)*100</f>
        <v>44.97498749</v>
      </c>
      <c r="AW101" s="59">
        <f t="shared" ref="AW101:AW105" si="303">AM101-AL101-AO101-AQ101-AR101</f>
        <v>7.8155</v>
      </c>
      <c r="AX101" s="14">
        <f t="shared" ref="AX101:AX105" si="304">(AW101/AM101)*100</f>
        <v>39.09704852</v>
      </c>
    </row>
    <row r="102" hidden="1" outlineLevel="2">
      <c r="A102" s="90"/>
      <c r="B102" s="92"/>
      <c r="C102" s="94">
        <v>60.0</v>
      </c>
      <c r="E102" s="57">
        <v>3.1</v>
      </c>
      <c r="F102" s="6">
        <v>1000.0</v>
      </c>
      <c r="G102" s="6">
        <v>200.0</v>
      </c>
      <c r="H102" s="6">
        <f t="shared" si="285"/>
        <v>800</v>
      </c>
      <c r="I102" s="6">
        <v>500.0</v>
      </c>
      <c r="J102" s="6">
        <f t="shared" si="286"/>
        <v>300</v>
      </c>
      <c r="K102" s="6">
        <f t="shared" si="287"/>
        <v>3100</v>
      </c>
      <c r="M102" s="6">
        <v>50.0</v>
      </c>
      <c r="N102" s="14">
        <f t="shared" si="288"/>
        <v>0.25</v>
      </c>
      <c r="O102" s="6">
        <v>500.0</v>
      </c>
      <c r="P102" s="59">
        <f t="shared" si="289"/>
        <v>0.625</v>
      </c>
      <c r="Q102" s="6">
        <v>100.0</v>
      </c>
      <c r="R102" s="14">
        <f t="shared" si="290"/>
        <v>0.2</v>
      </c>
      <c r="T102" s="6">
        <v>0.4</v>
      </c>
      <c r="U102" s="14">
        <f t="shared" si="291"/>
        <v>500</v>
      </c>
      <c r="V102" s="6">
        <v>1.0</v>
      </c>
      <c r="X102" s="6">
        <v>1050.0</v>
      </c>
      <c r="Y102" s="14">
        <f t="shared" si="292"/>
        <v>1.05</v>
      </c>
      <c r="AA102" s="6">
        <v>100.0</v>
      </c>
      <c r="AB102" s="59">
        <f t="shared" si="293"/>
        <v>0.1</v>
      </c>
      <c r="AC102" s="6">
        <v>100.0</v>
      </c>
      <c r="AD102" s="59">
        <f t="shared" si="294"/>
        <v>0.1</v>
      </c>
      <c r="AE102" s="6">
        <v>1.0</v>
      </c>
      <c r="AF102" s="14">
        <f t="shared" si="295"/>
        <v>0.001</v>
      </c>
      <c r="AG102" s="6"/>
      <c r="AH102" s="6">
        <v>850.0</v>
      </c>
      <c r="AI102" s="59">
        <f t="shared" si="296"/>
        <v>0.85</v>
      </c>
      <c r="AJ102" s="88">
        <f t="shared" si="297"/>
        <v>5.851</v>
      </c>
      <c r="AK102" s="59">
        <f t="shared" si="298"/>
        <v>5.851</v>
      </c>
      <c r="AL102" s="59">
        <f t="shared" si="299"/>
        <v>7.026</v>
      </c>
      <c r="AM102" s="6">
        <v>19.99</v>
      </c>
      <c r="AO102" s="59">
        <f t="shared" si="300"/>
        <v>2.9985</v>
      </c>
      <c r="AQ102" s="6">
        <v>3.13</v>
      </c>
      <c r="AR102" s="6">
        <v>0.02</v>
      </c>
      <c r="AU102" s="59">
        <f t="shared" si="301"/>
        <v>7.9905</v>
      </c>
      <c r="AV102" s="14">
        <f t="shared" si="302"/>
        <v>39.97248624</v>
      </c>
      <c r="AW102" s="59">
        <f t="shared" si="303"/>
        <v>6.8155</v>
      </c>
      <c r="AX102" s="14">
        <f t="shared" si="304"/>
        <v>34.09454727</v>
      </c>
    </row>
    <row r="103" hidden="1" outlineLevel="2">
      <c r="A103" s="90"/>
      <c r="B103" s="92"/>
      <c r="C103" s="93">
        <v>90.0</v>
      </c>
      <c r="E103" s="57">
        <v>4.07</v>
      </c>
      <c r="F103" s="6">
        <v>1000.0</v>
      </c>
      <c r="G103" s="6">
        <v>200.0</v>
      </c>
      <c r="H103" s="6">
        <f t="shared" si="285"/>
        <v>800</v>
      </c>
      <c r="I103" s="6">
        <v>500.0</v>
      </c>
      <c r="J103" s="6">
        <f t="shared" si="286"/>
        <v>300</v>
      </c>
      <c r="K103" s="6">
        <f t="shared" si="287"/>
        <v>4070</v>
      </c>
      <c r="M103" s="6">
        <v>50.0</v>
      </c>
      <c r="N103" s="14">
        <f t="shared" si="288"/>
        <v>0.25</v>
      </c>
      <c r="O103" s="6">
        <v>500.0</v>
      </c>
      <c r="P103" s="59">
        <f t="shared" si="289"/>
        <v>0.625</v>
      </c>
      <c r="Q103" s="6">
        <v>100.0</v>
      </c>
      <c r="R103" s="14">
        <f t="shared" si="290"/>
        <v>0.2</v>
      </c>
      <c r="T103" s="6">
        <v>0.4</v>
      </c>
      <c r="U103" s="14">
        <f t="shared" si="291"/>
        <v>500</v>
      </c>
      <c r="V103" s="6">
        <v>1.0</v>
      </c>
      <c r="X103" s="6">
        <v>1050.0</v>
      </c>
      <c r="Y103" s="14">
        <f t="shared" si="292"/>
        <v>1.05</v>
      </c>
      <c r="AA103" s="6">
        <v>100.0</v>
      </c>
      <c r="AB103" s="59">
        <f t="shared" si="293"/>
        <v>0.1</v>
      </c>
      <c r="AC103" s="6">
        <v>100.0</v>
      </c>
      <c r="AD103" s="59">
        <f t="shared" si="294"/>
        <v>0.1</v>
      </c>
      <c r="AE103" s="6">
        <v>1.0</v>
      </c>
      <c r="AF103" s="14">
        <f t="shared" si="295"/>
        <v>0.001</v>
      </c>
      <c r="AG103" s="6"/>
      <c r="AH103" s="6">
        <v>850.0</v>
      </c>
      <c r="AI103" s="59">
        <f t="shared" si="296"/>
        <v>0.85</v>
      </c>
      <c r="AJ103" s="88">
        <f t="shared" si="297"/>
        <v>6.821</v>
      </c>
      <c r="AK103" s="59">
        <f t="shared" si="298"/>
        <v>6.821</v>
      </c>
      <c r="AL103" s="59">
        <f t="shared" si="299"/>
        <v>7.996</v>
      </c>
      <c r="AM103" s="6">
        <v>19.99</v>
      </c>
      <c r="AO103" s="59">
        <f t="shared" si="300"/>
        <v>2.9985</v>
      </c>
      <c r="AQ103" s="6">
        <v>3.13</v>
      </c>
      <c r="AR103" s="6">
        <v>0.02</v>
      </c>
      <c r="AU103" s="59">
        <f t="shared" si="301"/>
        <v>7.0205</v>
      </c>
      <c r="AV103" s="14">
        <f t="shared" si="302"/>
        <v>35.12006003</v>
      </c>
      <c r="AW103" s="59">
        <f t="shared" si="303"/>
        <v>5.8455</v>
      </c>
      <c r="AX103" s="14">
        <f t="shared" si="304"/>
        <v>29.24212106</v>
      </c>
    </row>
    <row r="104" hidden="1" outlineLevel="2">
      <c r="A104" s="90"/>
      <c r="B104" s="92"/>
      <c r="C104" s="93">
        <v>120.0</v>
      </c>
      <c r="E104" s="57">
        <v>5.21</v>
      </c>
      <c r="F104" s="6">
        <v>1000.0</v>
      </c>
      <c r="G104" s="6">
        <v>200.0</v>
      </c>
      <c r="H104" s="6">
        <f t="shared" si="285"/>
        <v>800</v>
      </c>
      <c r="I104" s="6">
        <v>500.0</v>
      </c>
      <c r="J104" s="6">
        <f t="shared" si="286"/>
        <v>300</v>
      </c>
      <c r="K104" s="6">
        <f t="shared" si="287"/>
        <v>5210</v>
      </c>
      <c r="M104" s="6">
        <v>50.0</v>
      </c>
      <c r="N104" s="14">
        <f t="shared" si="288"/>
        <v>0.25</v>
      </c>
      <c r="O104" s="6">
        <v>500.0</v>
      </c>
      <c r="P104" s="59">
        <f t="shared" si="289"/>
        <v>0.625</v>
      </c>
      <c r="Q104" s="6">
        <v>100.0</v>
      </c>
      <c r="R104" s="14">
        <f t="shared" si="290"/>
        <v>0.2</v>
      </c>
      <c r="T104" s="6">
        <v>0.4</v>
      </c>
      <c r="U104" s="14">
        <f t="shared" si="291"/>
        <v>500</v>
      </c>
      <c r="V104" s="6">
        <v>1.0</v>
      </c>
      <c r="X104" s="6">
        <v>1050.0</v>
      </c>
      <c r="Y104" s="14">
        <f t="shared" si="292"/>
        <v>1.05</v>
      </c>
      <c r="AA104" s="6">
        <v>100.0</v>
      </c>
      <c r="AB104" s="59">
        <f t="shared" si="293"/>
        <v>0.1</v>
      </c>
      <c r="AC104" s="6">
        <v>100.0</v>
      </c>
      <c r="AD104" s="59">
        <f t="shared" si="294"/>
        <v>0.1</v>
      </c>
      <c r="AE104" s="6">
        <v>1.0</v>
      </c>
      <c r="AF104" s="14">
        <f t="shared" si="295"/>
        <v>0.001</v>
      </c>
      <c r="AG104" s="6"/>
      <c r="AH104" s="6">
        <v>850.0</v>
      </c>
      <c r="AI104" s="59">
        <f t="shared" si="296"/>
        <v>0.85</v>
      </c>
      <c r="AJ104" s="88">
        <f t="shared" si="297"/>
        <v>7.961</v>
      </c>
      <c r="AK104" s="59">
        <f t="shared" si="298"/>
        <v>7.961</v>
      </c>
      <c r="AL104" s="59">
        <f t="shared" si="299"/>
        <v>9.136</v>
      </c>
      <c r="AM104" s="6">
        <v>19.99</v>
      </c>
      <c r="AO104" s="59">
        <f t="shared" si="300"/>
        <v>2.9985</v>
      </c>
      <c r="AQ104" s="6">
        <v>3.13</v>
      </c>
      <c r="AR104" s="6">
        <v>0.02</v>
      </c>
      <c r="AU104" s="59">
        <f t="shared" si="301"/>
        <v>5.8805</v>
      </c>
      <c r="AV104" s="14">
        <f t="shared" si="302"/>
        <v>29.4172086</v>
      </c>
      <c r="AW104" s="59">
        <f t="shared" si="303"/>
        <v>4.7055</v>
      </c>
      <c r="AX104" s="14">
        <f t="shared" si="304"/>
        <v>23.53926963</v>
      </c>
    </row>
    <row r="105" hidden="1" outlineLevel="2">
      <c r="A105" s="90"/>
      <c r="B105" s="92"/>
      <c r="C105" s="93">
        <v>180.0</v>
      </c>
      <c r="E105" s="95">
        <v>6.8</v>
      </c>
      <c r="F105" s="6">
        <v>1000.0</v>
      </c>
      <c r="G105" s="6">
        <v>200.0</v>
      </c>
      <c r="H105" s="6">
        <f t="shared" si="285"/>
        <v>800</v>
      </c>
      <c r="I105" s="6">
        <v>500.0</v>
      </c>
      <c r="J105" s="6">
        <f t="shared" si="286"/>
        <v>300</v>
      </c>
      <c r="K105" s="6">
        <f t="shared" si="287"/>
        <v>6800</v>
      </c>
      <c r="M105" s="6">
        <v>50.0</v>
      </c>
      <c r="N105" s="14">
        <f t="shared" si="288"/>
        <v>0.25</v>
      </c>
      <c r="O105" s="6">
        <v>500.0</v>
      </c>
      <c r="P105" s="59">
        <f t="shared" si="289"/>
        <v>0.625</v>
      </c>
      <c r="Q105" s="6">
        <v>100.0</v>
      </c>
      <c r="R105" s="14">
        <f t="shared" si="290"/>
        <v>0.2</v>
      </c>
      <c r="T105" s="6">
        <v>0.4</v>
      </c>
      <c r="U105" s="14">
        <f t="shared" si="291"/>
        <v>500</v>
      </c>
      <c r="V105" s="6">
        <v>1.0</v>
      </c>
      <c r="X105" s="6">
        <v>1050.0</v>
      </c>
      <c r="Y105" s="14">
        <f t="shared" si="292"/>
        <v>1.05</v>
      </c>
      <c r="AA105" s="6">
        <v>100.0</v>
      </c>
      <c r="AB105" s="59">
        <f t="shared" si="293"/>
        <v>0.1</v>
      </c>
      <c r="AC105" s="6">
        <v>100.0</v>
      </c>
      <c r="AD105" s="59">
        <f t="shared" si="294"/>
        <v>0.1</v>
      </c>
      <c r="AE105" s="6">
        <v>1.0</v>
      </c>
      <c r="AF105" s="14">
        <f t="shared" si="295"/>
        <v>0.001</v>
      </c>
      <c r="AG105" s="6"/>
      <c r="AH105" s="6">
        <v>850.0</v>
      </c>
      <c r="AI105" s="59">
        <f t="shared" si="296"/>
        <v>0.85</v>
      </c>
      <c r="AJ105" s="88">
        <f t="shared" si="297"/>
        <v>9.551</v>
      </c>
      <c r="AK105" s="59">
        <f t="shared" si="298"/>
        <v>9.551</v>
      </c>
      <c r="AL105" s="59">
        <f t="shared" si="299"/>
        <v>10.726</v>
      </c>
      <c r="AM105" s="6">
        <v>19.99</v>
      </c>
      <c r="AO105" s="59">
        <f t="shared" si="300"/>
        <v>2.9985</v>
      </c>
      <c r="AQ105" s="6">
        <v>3.13</v>
      </c>
      <c r="AR105" s="6">
        <v>0.02</v>
      </c>
      <c r="AU105" s="59">
        <f t="shared" si="301"/>
        <v>4.2905</v>
      </c>
      <c r="AV105" s="14">
        <f t="shared" si="302"/>
        <v>21.46323162</v>
      </c>
      <c r="AW105" s="59">
        <f t="shared" si="303"/>
        <v>3.1155</v>
      </c>
      <c r="AX105" s="14">
        <f t="shared" si="304"/>
        <v>15.58529265</v>
      </c>
    </row>
    <row r="106" collapsed="1">
      <c r="A106" s="89" t="s">
        <v>201</v>
      </c>
      <c r="B106" s="90"/>
      <c r="C106" s="90"/>
      <c r="P106" s="59"/>
      <c r="AB106" s="59"/>
      <c r="AD106" s="59"/>
      <c r="AI106" s="59"/>
      <c r="AJ106" s="91"/>
      <c r="AK106" s="59"/>
      <c r="AO106" s="59"/>
    </row>
    <row r="107" hidden="1" outlineLevel="1">
      <c r="A107" s="90"/>
      <c r="B107" s="92" t="s">
        <v>194</v>
      </c>
      <c r="C107" s="90"/>
      <c r="P107" s="59"/>
      <c r="AB107" s="59"/>
      <c r="AD107" s="59"/>
      <c r="AI107" s="59"/>
      <c r="AJ107" s="91"/>
      <c r="AK107" s="59"/>
      <c r="AO107" s="59"/>
    </row>
    <row r="108" hidden="1" outlineLevel="2">
      <c r="A108" s="90"/>
      <c r="B108" s="92"/>
      <c r="C108" s="96" t="s">
        <v>29</v>
      </c>
      <c r="E108" s="97">
        <v>2.72</v>
      </c>
      <c r="F108" s="6">
        <v>1000.0</v>
      </c>
      <c r="G108" s="6">
        <v>200.0</v>
      </c>
      <c r="H108" s="6">
        <f t="shared" ref="H108:H109" si="305">F108-G108</f>
        <v>800</v>
      </c>
      <c r="I108" s="6">
        <v>500.0</v>
      </c>
      <c r="J108" s="6">
        <f t="shared" ref="J108:J109" si="306">H108-I108</f>
        <v>300</v>
      </c>
      <c r="K108" s="6">
        <f t="shared" ref="K108:K109" si="307">F108*E108</f>
        <v>2720</v>
      </c>
      <c r="M108" s="6">
        <v>50.0</v>
      </c>
      <c r="N108" s="14">
        <f t="shared" ref="N108:N109" si="308">M108/G108</f>
        <v>0.25</v>
      </c>
      <c r="O108" s="6">
        <v>500.0</v>
      </c>
      <c r="P108" s="59">
        <f t="shared" ref="P108:P109" si="309">O108/H108</f>
        <v>0.625</v>
      </c>
      <c r="Q108" s="6">
        <v>100.0</v>
      </c>
      <c r="R108" s="14">
        <f t="shared" ref="R108:R109" si="310">Q108/I108</f>
        <v>0.2</v>
      </c>
      <c r="T108" s="6">
        <v>0.4</v>
      </c>
      <c r="U108" s="14">
        <f t="shared" ref="U108:U109" si="311">V108*I108</f>
        <v>500</v>
      </c>
      <c r="V108" s="6">
        <v>1.0</v>
      </c>
      <c r="X108" s="6">
        <v>1050.0</v>
      </c>
      <c r="Y108" s="14">
        <f t="shared" ref="Y108:Y109" si="312">X108/F108</f>
        <v>1.05</v>
      </c>
      <c r="AA108" s="6">
        <v>100.0</v>
      </c>
      <c r="AB108" s="59">
        <f t="shared" ref="AB108:AB109" si="313">AA108/F108</f>
        <v>0.1</v>
      </c>
      <c r="AC108" s="6">
        <v>100.0</v>
      </c>
      <c r="AD108" s="59">
        <f t="shared" ref="AD108:AD109" si="314">AC108/F108</f>
        <v>0.1</v>
      </c>
      <c r="AE108" s="6">
        <v>1.0</v>
      </c>
      <c r="AF108" s="14">
        <f t="shared" ref="AF108:AF109" si="315">AE108/F108</f>
        <v>0.001</v>
      </c>
      <c r="AG108" s="6"/>
      <c r="AH108" s="6">
        <v>550.0</v>
      </c>
      <c r="AI108" s="59">
        <f t="shared" ref="AI108:AI109" si="316">AH108/F108</f>
        <v>0.55</v>
      </c>
      <c r="AJ108" s="88">
        <f t="shared" ref="AJ108:AJ109" si="317">AK108</f>
        <v>5.171</v>
      </c>
      <c r="AK108" s="59">
        <f t="shared" ref="AK108:AK109" si="318">E108+N108+T108+Y108+AB108+AD108+AF108+AI108</f>
        <v>5.171</v>
      </c>
      <c r="AL108" s="59">
        <f t="shared" ref="AL108:AL109" si="319">E108+P108+R108+V108+Y108+AB108+AD108+AF108+AI108</f>
        <v>6.346</v>
      </c>
      <c r="AM108" s="6">
        <v>17.8</v>
      </c>
      <c r="AO108" s="59">
        <f t="shared" ref="AO108:AO109" si="320">AM108*0.15</f>
        <v>2.67</v>
      </c>
      <c r="AQ108" s="6">
        <v>3.13</v>
      </c>
      <c r="AR108" s="6">
        <v>0.02</v>
      </c>
      <c r="AU108" s="59">
        <f t="shared" ref="AU108:AU109" si="321">AM108-AK108-AO108-AQ108-AR108</f>
        <v>6.809</v>
      </c>
      <c r="AV108" s="14">
        <f t="shared" ref="AV108:AV109" si="322">(AU108/AM108)*100</f>
        <v>38.25280899</v>
      </c>
      <c r="AW108" s="59">
        <f t="shared" ref="AW108:AW109" si="323">AM108-AL108-AO108-AQ108-AR108</f>
        <v>5.634</v>
      </c>
      <c r="AX108" s="14">
        <f t="shared" ref="AX108:AX109" si="324">(AW108/AM108)*100</f>
        <v>31.65168539</v>
      </c>
    </row>
    <row r="109" hidden="1" outlineLevel="2">
      <c r="A109" s="90"/>
      <c r="B109" s="92"/>
      <c r="C109" s="98" t="s">
        <v>83</v>
      </c>
      <c r="E109" s="97">
        <v>3.15</v>
      </c>
      <c r="F109" s="6">
        <v>1000.0</v>
      </c>
      <c r="G109" s="6">
        <v>200.0</v>
      </c>
      <c r="H109" s="6">
        <f t="shared" si="305"/>
        <v>800</v>
      </c>
      <c r="I109" s="6">
        <v>500.0</v>
      </c>
      <c r="J109" s="6">
        <f t="shared" si="306"/>
        <v>300</v>
      </c>
      <c r="K109" s="6">
        <f t="shared" si="307"/>
        <v>3150</v>
      </c>
      <c r="M109" s="6">
        <v>50.0</v>
      </c>
      <c r="N109" s="14">
        <f t="shared" si="308"/>
        <v>0.25</v>
      </c>
      <c r="O109" s="6">
        <v>500.0</v>
      </c>
      <c r="P109" s="59">
        <f t="shared" si="309"/>
        <v>0.625</v>
      </c>
      <c r="Q109" s="6">
        <v>100.0</v>
      </c>
      <c r="R109" s="14">
        <f t="shared" si="310"/>
        <v>0.2</v>
      </c>
      <c r="T109" s="6">
        <v>0.4</v>
      </c>
      <c r="U109" s="14">
        <f t="shared" si="311"/>
        <v>500</v>
      </c>
      <c r="V109" s="6">
        <v>1.0</v>
      </c>
      <c r="X109" s="6">
        <v>1050.0</v>
      </c>
      <c r="Y109" s="14">
        <f t="shared" si="312"/>
        <v>1.05</v>
      </c>
      <c r="AA109" s="6">
        <v>100.0</v>
      </c>
      <c r="AB109" s="59">
        <f t="shared" si="313"/>
        <v>0.1</v>
      </c>
      <c r="AC109" s="6">
        <v>100.0</v>
      </c>
      <c r="AD109" s="59">
        <f t="shared" si="314"/>
        <v>0.1</v>
      </c>
      <c r="AE109" s="6">
        <v>1.0</v>
      </c>
      <c r="AF109" s="14">
        <f t="shared" si="315"/>
        <v>0.001</v>
      </c>
      <c r="AG109" s="6"/>
      <c r="AH109" s="6">
        <v>550.0</v>
      </c>
      <c r="AI109" s="59">
        <f t="shared" si="316"/>
        <v>0.55</v>
      </c>
      <c r="AJ109" s="88">
        <f t="shared" si="317"/>
        <v>5.601</v>
      </c>
      <c r="AK109" s="59">
        <f t="shared" si="318"/>
        <v>5.601</v>
      </c>
      <c r="AL109" s="59">
        <f t="shared" si="319"/>
        <v>6.776</v>
      </c>
      <c r="AM109" s="6">
        <v>21.0</v>
      </c>
      <c r="AO109" s="59">
        <f t="shared" si="320"/>
        <v>3.15</v>
      </c>
      <c r="AQ109" s="6">
        <v>3.13</v>
      </c>
      <c r="AR109" s="6">
        <v>0.02</v>
      </c>
      <c r="AU109" s="59">
        <f t="shared" si="321"/>
        <v>9.099</v>
      </c>
      <c r="AV109" s="14">
        <f t="shared" si="322"/>
        <v>43.32857143</v>
      </c>
      <c r="AW109" s="59">
        <f t="shared" si="323"/>
        <v>7.924</v>
      </c>
      <c r="AX109" s="14">
        <f t="shared" si="324"/>
        <v>37.73333333</v>
      </c>
    </row>
    <row r="110" hidden="1" outlineLevel="1">
      <c r="A110" s="90"/>
      <c r="B110" s="92" t="s">
        <v>195</v>
      </c>
      <c r="C110" s="99"/>
      <c r="P110" s="59"/>
      <c r="AB110" s="59"/>
      <c r="AD110" s="59"/>
      <c r="AI110" s="59"/>
      <c r="AJ110" s="91"/>
      <c r="AK110" s="59"/>
      <c r="AO110" s="59"/>
    </row>
    <row r="111" hidden="1" outlineLevel="2">
      <c r="A111" s="90"/>
      <c r="B111" s="92"/>
      <c r="C111" s="96" t="s">
        <v>29</v>
      </c>
      <c r="E111" s="97">
        <v>2.72</v>
      </c>
      <c r="F111" s="6">
        <v>1000.0</v>
      </c>
      <c r="G111" s="6">
        <v>200.0</v>
      </c>
      <c r="H111" s="6">
        <f t="shared" ref="H111:H112" si="325">F111-G111</f>
        <v>800</v>
      </c>
      <c r="I111" s="6">
        <v>500.0</v>
      </c>
      <c r="J111" s="6">
        <f t="shared" ref="J111:J112" si="326">H111-I111</f>
        <v>300</v>
      </c>
      <c r="K111" s="6">
        <f t="shared" ref="K111:K112" si="327">F111*E111</f>
        <v>2720</v>
      </c>
      <c r="M111" s="6">
        <v>50.0</v>
      </c>
      <c r="N111" s="14">
        <f t="shared" ref="N111:N112" si="328">M111/G111</f>
        <v>0.25</v>
      </c>
      <c r="O111" s="6">
        <v>500.0</v>
      </c>
      <c r="P111" s="59">
        <f t="shared" ref="P111:P112" si="329">O111/H111</f>
        <v>0.625</v>
      </c>
      <c r="Q111" s="6">
        <v>100.0</v>
      </c>
      <c r="R111" s="14">
        <f t="shared" ref="R111:R112" si="330">Q111/I111</f>
        <v>0.2</v>
      </c>
      <c r="T111" s="6">
        <v>0.4</v>
      </c>
      <c r="U111" s="14">
        <f t="shared" ref="U111:U112" si="331">V111*I111</f>
        <v>500</v>
      </c>
      <c r="V111" s="6">
        <v>1.0</v>
      </c>
      <c r="X111" s="6">
        <v>1050.0</v>
      </c>
      <c r="Y111" s="14">
        <f t="shared" ref="Y111:Y112" si="332">X111/F111</f>
        <v>1.05</v>
      </c>
      <c r="AA111" s="6">
        <v>100.0</v>
      </c>
      <c r="AB111" s="59">
        <f t="shared" ref="AB111:AB112" si="333">AA111/F111</f>
        <v>0.1</v>
      </c>
      <c r="AC111" s="6">
        <v>100.0</v>
      </c>
      <c r="AD111" s="59">
        <f t="shared" ref="AD111:AD112" si="334">AC111/F111</f>
        <v>0.1</v>
      </c>
      <c r="AE111" s="6">
        <v>1.0</v>
      </c>
      <c r="AF111" s="14">
        <f t="shared" ref="AF111:AF112" si="335">AE111/F111</f>
        <v>0.001</v>
      </c>
      <c r="AG111" s="6"/>
      <c r="AH111" s="6">
        <v>800.0</v>
      </c>
      <c r="AI111" s="59">
        <f t="shared" ref="AI111:AI112" si="336">AH111/F111</f>
        <v>0.8</v>
      </c>
      <c r="AJ111" s="88">
        <f t="shared" ref="AJ111:AJ112" si="337">AK111</f>
        <v>5.421</v>
      </c>
      <c r="AK111" s="59">
        <f t="shared" ref="AK111:AK112" si="338">E111+N111+T111+Y111+AB111+AD111+AF111+AI111</f>
        <v>5.421</v>
      </c>
      <c r="AL111" s="59">
        <f t="shared" ref="AL111:AL112" si="339">E111+P111+R111+V111+Y111+AB111+AD111+AF111+AI111</f>
        <v>6.596</v>
      </c>
      <c r="AM111" s="6">
        <v>18.0</v>
      </c>
      <c r="AO111" s="59">
        <f t="shared" ref="AO111:AO112" si="340">AM111*0.15</f>
        <v>2.7</v>
      </c>
      <c r="AQ111" s="6">
        <v>3.13</v>
      </c>
      <c r="AR111" s="6">
        <v>0.02</v>
      </c>
      <c r="AU111" s="59">
        <f t="shared" ref="AU111:AU112" si="341">AM111-AK111-AO111-AQ111-AR111</f>
        <v>6.729</v>
      </c>
      <c r="AV111" s="14">
        <f t="shared" ref="AV111:AV112" si="342">(AU111/AM111)*100</f>
        <v>37.38333333</v>
      </c>
      <c r="AW111" s="59">
        <f t="shared" ref="AW111:AW112" si="343">AM111-AL111-AO111-AQ111-AR111</f>
        <v>5.554</v>
      </c>
      <c r="AX111" s="14">
        <f t="shared" ref="AX111:AX112" si="344">(AW111/AM111)*100</f>
        <v>30.85555556</v>
      </c>
    </row>
    <row r="112" hidden="1" outlineLevel="2">
      <c r="A112" s="90"/>
      <c r="B112" s="92"/>
      <c r="C112" s="98" t="s">
        <v>83</v>
      </c>
      <c r="E112" s="97">
        <v>3.15</v>
      </c>
      <c r="F112" s="6">
        <v>1000.0</v>
      </c>
      <c r="G112" s="6">
        <v>200.0</v>
      </c>
      <c r="H112" s="6">
        <f t="shared" si="325"/>
        <v>800</v>
      </c>
      <c r="I112" s="6">
        <v>500.0</v>
      </c>
      <c r="J112" s="6">
        <f t="shared" si="326"/>
        <v>300</v>
      </c>
      <c r="K112" s="6">
        <f t="shared" si="327"/>
        <v>3150</v>
      </c>
      <c r="M112" s="6">
        <v>50.0</v>
      </c>
      <c r="N112" s="14">
        <f t="shared" si="328"/>
        <v>0.25</v>
      </c>
      <c r="O112" s="6">
        <v>500.0</v>
      </c>
      <c r="P112" s="59">
        <f t="shared" si="329"/>
        <v>0.625</v>
      </c>
      <c r="Q112" s="6">
        <v>100.0</v>
      </c>
      <c r="R112" s="14">
        <f t="shared" si="330"/>
        <v>0.2</v>
      </c>
      <c r="T112" s="6">
        <v>0.4</v>
      </c>
      <c r="U112" s="14">
        <f t="shared" si="331"/>
        <v>500</v>
      </c>
      <c r="V112" s="6">
        <v>1.0</v>
      </c>
      <c r="X112" s="6">
        <v>1050.0</v>
      </c>
      <c r="Y112" s="14">
        <f t="shared" si="332"/>
        <v>1.05</v>
      </c>
      <c r="AA112" s="6">
        <v>100.0</v>
      </c>
      <c r="AB112" s="59">
        <f t="shared" si="333"/>
        <v>0.1</v>
      </c>
      <c r="AC112" s="6">
        <v>100.0</v>
      </c>
      <c r="AD112" s="59">
        <f t="shared" si="334"/>
        <v>0.1</v>
      </c>
      <c r="AE112" s="6">
        <v>1.0</v>
      </c>
      <c r="AF112" s="14">
        <f t="shared" si="335"/>
        <v>0.001</v>
      </c>
      <c r="AG112" s="6"/>
      <c r="AH112" s="6">
        <v>800.0</v>
      </c>
      <c r="AI112" s="59">
        <f t="shared" si="336"/>
        <v>0.8</v>
      </c>
      <c r="AJ112" s="88">
        <f t="shared" si="337"/>
        <v>5.851</v>
      </c>
      <c r="AK112" s="59">
        <f t="shared" si="338"/>
        <v>5.851</v>
      </c>
      <c r="AL112" s="59">
        <f t="shared" si="339"/>
        <v>7.026</v>
      </c>
      <c r="AM112" s="6">
        <v>19.0</v>
      </c>
      <c r="AO112" s="59">
        <f t="shared" si="340"/>
        <v>2.85</v>
      </c>
      <c r="AQ112" s="6">
        <v>3.13</v>
      </c>
      <c r="AR112" s="6">
        <v>0.02</v>
      </c>
      <c r="AU112" s="59">
        <f t="shared" si="341"/>
        <v>7.149</v>
      </c>
      <c r="AV112" s="14">
        <f t="shared" si="342"/>
        <v>37.62631579</v>
      </c>
      <c r="AW112" s="59">
        <f t="shared" si="343"/>
        <v>5.974</v>
      </c>
      <c r="AX112" s="14">
        <f t="shared" si="344"/>
        <v>31.44210526</v>
      </c>
    </row>
    <row r="113" hidden="1" outlineLevel="1">
      <c r="B113" s="92" t="s">
        <v>196</v>
      </c>
      <c r="C113" s="99"/>
      <c r="P113" s="59"/>
      <c r="AB113" s="59"/>
      <c r="AD113" s="59"/>
      <c r="AI113" s="59"/>
      <c r="AJ113" s="91"/>
      <c r="AK113" s="59"/>
      <c r="AO113" s="59"/>
    </row>
    <row r="114" hidden="1" outlineLevel="2">
      <c r="B114" s="92"/>
      <c r="C114" s="96" t="s">
        <v>29</v>
      </c>
      <c r="E114" s="97">
        <v>2.72</v>
      </c>
      <c r="F114" s="6">
        <v>1000.0</v>
      </c>
      <c r="G114" s="6">
        <v>200.0</v>
      </c>
      <c r="H114" s="6">
        <f t="shared" ref="H114:H115" si="345">F114-G114</f>
        <v>800</v>
      </c>
      <c r="I114" s="6">
        <v>500.0</v>
      </c>
      <c r="J114" s="6">
        <f t="shared" ref="J114:J115" si="346">H114-I114</f>
        <v>300</v>
      </c>
      <c r="K114" s="6">
        <f t="shared" ref="K114:K115" si="347">F114*E114</f>
        <v>2720</v>
      </c>
      <c r="M114" s="6">
        <v>50.0</v>
      </c>
      <c r="N114" s="14">
        <f t="shared" ref="N114:N115" si="348">M114/G114</f>
        <v>0.25</v>
      </c>
      <c r="O114" s="6">
        <v>500.0</v>
      </c>
      <c r="P114" s="59">
        <f t="shared" ref="P114:P115" si="349">O114/H114</f>
        <v>0.625</v>
      </c>
      <c r="Q114" s="6">
        <v>100.0</v>
      </c>
      <c r="R114" s="14">
        <f t="shared" ref="R114:R115" si="350">Q114/I114</f>
        <v>0.2</v>
      </c>
      <c r="T114" s="6">
        <v>0.4</v>
      </c>
      <c r="U114" s="14">
        <f t="shared" ref="U114:U115" si="351">V114*I114</f>
        <v>500</v>
      </c>
      <c r="V114" s="6">
        <v>1.0</v>
      </c>
      <c r="X114" s="6">
        <v>1050.0</v>
      </c>
      <c r="Y114" s="14">
        <f t="shared" ref="Y114:Y115" si="352">X114/F114</f>
        <v>1.05</v>
      </c>
      <c r="AA114" s="6">
        <v>100.0</v>
      </c>
      <c r="AB114" s="59">
        <f t="shared" ref="AB114:AB115" si="353">AA114/F114</f>
        <v>0.1</v>
      </c>
      <c r="AC114" s="6">
        <v>100.0</v>
      </c>
      <c r="AD114" s="59">
        <f t="shared" ref="AD114:AD115" si="354">AC114/F114</f>
        <v>0.1</v>
      </c>
      <c r="AE114" s="6">
        <v>1.0</v>
      </c>
      <c r="AF114" s="14">
        <f t="shared" ref="AF114:AF115" si="355">AE114/F114</f>
        <v>0.001</v>
      </c>
      <c r="AG114" s="6"/>
      <c r="AH114" s="6">
        <v>800.0</v>
      </c>
      <c r="AI114" s="59">
        <f t="shared" ref="AI114:AI115" si="356">AH114/F114</f>
        <v>0.8</v>
      </c>
      <c r="AJ114" s="88">
        <f t="shared" ref="AJ114:AJ115" si="357">AK114</f>
        <v>5.421</v>
      </c>
      <c r="AK114" s="59">
        <f t="shared" ref="AK114:AK115" si="358">E114+N114+T114+Y114+AB114+AD114+AF114+AI114</f>
        <v>5.421</v>
      </c>
      <c r="AL114" s="59">
        <f t="shared" ref="AL114:AL115" si="359">E114+P114+R114+V114+Y114+AB114+AD114+AF114+AI114</f>
        <v>6.596</v>
      </c>
      <c r="AM114" s="6">
        <v>27.7</v>
      </c>
      <c r="AO114" s="59">
        <f t="shared" ref="AO114:AO115" si="360">AM114*0.15</f>
        <v>4.155</v>
      </c>
      <c r="AQ114" s="6">
        <v>3.13</v>
      </c>
      <c r="AR114" s="6">
        <v>0.02</v>
      </c>
      <c r="AU114" s="59">
        <f t="shared" ref="AU114:AU115" si="361">AM114-AK114-AO114-AQ114-AR114</f>
        <v>14.974</v>
      </c>
      <c r="AV114" s="14">
        <f t="shared" ref="AV114:AV115" si="362">(AU114/AM114)*100</f>
        <v>54.05776173</v>
      </c>
      <c r="AW114" s="59">
        <f t="shared" ref="AW114:AW115" si="363">AM114-AL114-AO114-AQ114-AR114</f>
        <v>13.799</v>
      </c>
      <c r="AX114" s="14">
        <f t="shared" ref="AX114:AX115" si="364">(AW114/AM114)*100</f>
        <v>49.81588448</v>
      </c>
    </row>
    <row r="115" hidden="1" outlineLevel="2">
      <c r="B115" s="92"/>
      <c r="C115" s="98" t="s">
        <v>83</v>
      </c>
      <c r="E115" s="97">
        <v>3.15</v>
      </c>
      <c r="F115" s="6">
        <v>1000.0</v>
      </c>
      <c r="G115" s="6">
        <v>200.0</v>
      </c>
      <c r="H115" s="6">
        <f t="shared" si="345"/>
        <v>800</v>
      </c>
      <c r="I115" s="6">
        <v>500.0</v>
      </c>
      <c r="J115" s="6">
        <f t="shared" si="346"/>
        <v>300</v>
      </c>
      <c r="K115" s="6">
        <f t="shared" si="347"/>
        <v>3150</v>
      </c>
      <c r="M115" s="6">
        <v>50.0</v>
      </c>
      <c r="N115" s="14">
        <f t="shared" si="348"/>
        <v>0.25</v>
      </c>
      <c r="O115" s="6">
        <v>500.0</v>
      </c>
      <c r="P115" s="59">
        <f t="shared" si="349"/>
        <v>0.625</v>
      </c>
      <c r="Q115" s="6">
        <v>100.0</v>
      </c>
      <c r="R115" s="14">
        <f t="shared" si="350"/>
        <v>0.2</v>
      </c>
      <c r="T115" s="6">
        <v>0.4</v>
      </c>
      <c r="U115" s="14">
        <f t="shared" si="351"/>
        <v>500</v>
      </c>
      <c r="V115" s="6">
        <v>1.0</v>
      </c>
      <c r="X115" s="6">
        <v>1050.0</v>
      </c>
      <c r="Y115" s="14">
        <f t="shared" si="352"/>
        <v>1.05</v>
      </c>
      <c r="AA115" s="6">
        <v>100.0</v>
      </c>
      <c r="AB115" s="59">
        <f t="shared" si="353"/>
        <v>0.1</v>
      </c>
      <c r="AC115" s="6">
        <v>100.0</v>
      </c>
      <c r="AD115" s="59">
        <f t="shared" si="354"/>
        <v>0.1</v>
      </c>
      <c r="AE115" s="6">
        <v>1.0</v>
      </c>
      <c r="AF115" s="14">
        <f t="shared" si="355"/>
        <v>0.001</v>
      </c>
      <c r="AG115" s="6"/>
      <c r="AH115" s="6">
        <v>800.0</v>
      </c>
      <c r="AI115" s="59">
        <f t="shared" si="356"/>
        <v>0.8</v>
      </c>
      <c r="AJ115" s="88">
        <f t="shared" si="357"/>
        <v>5.851</v>
      </c>
      <c r="AK115" s="59">
        <f t="shared" si="358"/>
        <v>5.851</v>
      </c>
      <c r="AL115" s="59">
        <f t="shared" si="359"/>
        <v>7.026</v>
      </c>
      <c r="AM115" s="6">
        <v>28.0</v>
      </c>
      <c r="AO115" s="59">
        <f t="shared" si="360"/>
        <v>4.2</v>
      </c>
      <c r="AQ115" s="6">
        <v>3.13</v>
      </c>
      <c r="AR115" s="6">
        <v>0.02</v>
      </c>
      <c r="AU115" s="59">
        <f t="shared" si="361"/>
        <v>14.799</v>
      </c>
      <c r="AV115" s="14">
        <f t="shared" si="362"/>
        <v>52.85357143</v>
      </c>
      <c r="AW115" s="59">
        <f t="shared" si="363"/>
        <v>13.624</v>
      </c>
      <c r="AX115" s="14">
        <f t="shared" si="364"/>
        <v>48.65714286</v>
      </c>
    </row>
    <row r="116" hidden="1" outlineLevel="1">
      <c r="B116" s="92" t="s">
        <v>197</v>
      </c>
      <c r="C116" s="99"/>
      <c r="P116" s="59"/>
      <c r="AB116" s="59"/>
      <c r="AD116" s="59"/>
      <c r="AI116" s="59"/>
      <c r="AJ116" s="91"/>
      <c r="AK116" s="59"/>
      <c r="AO116" s="59"/>
    </row>
    <row r="117" hidden="1" outlineLevel="2">
      <c r="B117" s="92"/>
      <c r="C117" s="96" t="s">
        <v>29</v>
      </c>
      <c r="E117" s="97">
        <v>2.72</v>
      </c>
      <c r="F117" s="6">
        <v>1000.0</v>
      </c>
      <c r="G117" s="6">
        <v>200.0</v>
      </c>
      <c r="H117" s="6">
        <f t="shared" ref="H117:H118" si="365">F117-G117</f>
        <v>800</v>
      </c>
      <c r="I117" s="6">
        <v>500.0</v>
      </c>
      <c r="J117" s="6">
        <f t="shared" ref="J117:J118" si="366">H117-I117</f>
        <v>300</v>
      </c>
      <c r="K117" s="6">
        <f t="shared" ref="K117:K118" si="367">F117*E117</f>
        <v>2720</v>
      </c>
      <c r="M117" s="6">
        <v>50.0</v>
      </c>
      <c r="N117" s="14">
        <f t="shared" ref="N117:N118" si="368">M117/G117</f>
        <v>0.25</v>
      </c>
      <c r="O117" s="6">
        <v>500.0</v>
      </c>
      <c r="P117" s="59">
        <f t="shared" ref="P117:P118" si="369">O117/H117</f>
        <v>0.625</v>
      </c>
      <c r="Q117" s="6">
        <v>100.0</v>
      </c>
      <c r="R117" s="14">
        <f t="shared" ref="R117:R118" si="370">Q117/I117</f>
        <v>0.2</v>
      </c>
      <c r="T117" s="6">
        <v>0.4</v>
      </c>
      <c r="U117" s="14">
        <f t="shared" ref="U117:U118" si="371">V117*I117</f>
        <v>500</v>
      </c>
      <c r="V117" s="6">
        <v>1.0</v>
      </c>
      <c r="X117" s="6">
        <v>1050.0</v>
      </c>
      <c r="Y117" s="14">
        <f t="shared" ref="Y117:Y118" si="372">X117/F117</f>
        <v>1.05</v>
      </c>
      <c r="AA117" s="6">
        <v>100.0</v>
      </c>
      <c r="AB117" s="59">
        <f t="shared" ref="AB117:AB118" si="373">AA117/F117</f>
        <v>0.1</v>
      </c>
      <c r="AC117" s="6">
        <v>100.0</v>
      </c>
      <c r="AD117" s="59">
        <f t="shared" ref="AD117:AD118" si="374">AC117/F117</f>
        <v>0.1</v>
      </c>
      <c r="AE117" s="6">
        <v>1.0</v>
      </c>
      <c r="AF117" s="14">
        <f t="shared" ref="AF117:AF118" si="375">AE117/F117</f>
        <v>0.001</v>
      </c>
      <c r="AG117" s="6"/>
      <c r="AH117" s="6">
        <v>850.0</v>
      </c>
      <c r="AI117" s="59">
        <f t="shared" ref="AI117:AI118" si="376">AH117/F117</f>
        <v>0.85</v>
      </c>
      <c r="AJ117" s="88">
        <f t="shared" ref="AJ117:AJ118" si="377">AK117</f>
        <v>5.471</v>
      </c>
      <c r="AK117" s="59">
        <f t="shared" ref="AK117:AK118" si="378">E117+N117+T117+Y117+AB117+AD117+AF117+AI117</f>
        <v>5.471</v>
      </c>
      <c r="AL117" s="59">
        <f t="shared" ref="AL117:AL118" si="379">E117+P117+R117+V117+Y117+AB117+AD117+AF117+AI117</f>
        <v>6.646</v>
      </c>
      <c r="AM117" s="6">
        <v>24.0</v>
      </c>
      <c r="AO117" s="59">
        <f t="shared" ref="AO117:AO118" si="380">AM117*0.15</f>
        <v>3.6</v>
      </c>
      <c r="AQ117" s="6">
        <v>3.13</v>
      </c>
      <c r="AR117" s="6">
        <v>0.02</v>
      </c>
      <c r="AU117" s="59">
        <f t="shared" ref="AU117:AU118" si="381">AM117-AK117-AO117-AQ117-AR117</f>
        <v>11.779</v>
      </c>
      <c r="AV117" s="14">
        <f t="shared" ref="AV117:AV118" si="382">(AU117/AM117)*100</f>
        <v>49.07916667</v>
      </c>
      <c r="AW117" s="59">
        <f t="shared" ref="AW117:AW118" si="383">AM117-AL117-AO117-AQ117-AR117</f>
        <v>10.604</v>
      </c>
      <c r="AX117" s="14">
        <f t="shared" ref="AX117:AX118" si="384">(AW117/AM117)*100</f>
        <v>44.18333333</v>
      </c>
    </row>
    <row r="118" hidden="1" outlineLevel="2">
      <c r="B118" s="92"/>
      <c r="C118" s="98" t="s">
        <v>83</v>
      </c>
      <c r="E118" s="97">
        <v>3.15</v>
      </c>
      <c r="F118" s="6">
        <v>1000.0</v>
      </c>
      <c r="G118" s="6">
        <v>200.0</v>
      </c>
      <c r="H118" s="6">
        <f t="shared" si="365"/>
        <v>800</v>
      </c>
      <c r="I118" s="6">
        <v>500.0</v>
      </c>
      <c r="J118" s="6">
        <f t="shared" si="366"/>
        <v>300</v>
      </c>
      <c r="K118" s="6">
        <f t="shared" si="367"/>
        <v>3150</v>
      </c>
      <c r="M118" s="6">
        <v>50.0</v>
      </c>
      <c r="N118" s="14">
        <f t="shared" si="368"/>
        <v>0.25</v>
      </c>
      <c r="O118" s="6">
        <v>500.0</v>
      </c>
      <c r="P118" s="59">
        <f t="shared" si="369"/>
        <v>0.625</v>
      </c>
      <c r="Q118" s="6">
        <v>100.0</v>
      </c>
      <c r="R118" s="14">
        <f t="shared" si="370"/>
        <v>0.2</v>
      </c>
      <c r="T118" s="6">
        <v>0.4</v>
      </c>
      <c r="U118" s="14">
        <f t="shared" si="371"/>
        <v>500</v>
      </c>
      <c r="V118" s="6">
        <v>1.0</v>
      </c>
      <c r="X118" s="6">
        <v>1050.0</v>
      </c>
      <c r="Y118" s="14">
        <f t="shared" si="372"/>
        <v>1.05</v>
      </c>
      <c r="AA118" s="6">
        <v>100.0</v>
      </c>
      <c r="AB118" s="59">
        <f t="shared" si="373"/>
        <v>0.1</v>
      </c>
      <c r="AC118" s="6">
        <v>100.0</v>
      </c>
      <c r="AD118" s="59">
        <f t="shared" si="374"/>
        <v>0.1</v>
      </c>
      <c r="AE118" s="6">
        <v>1.0</v>
      </c>
      <c r="AF118" s="14">
        <f t="shared" si="375"/>
        <v>0.001</v>
      </c>
      <c r="AG118" s="6"/>
      <c r="AH118" s="6">
        <v>850.0</v>
      </c>
      <c r="AI118" s="59">
        <f t="shared" si="376"/>
        <v>0.85</v>
      </c>
      <c r="AJ118" s="88">
        <f t="shared" si="377"/>
        <v>5.901</v>
      </c>
      <c r="AK118" s="59">
        <f t="shared" si="378"/>
        <v>5.901</v>
      </c>
      <c r="AL118" s="59">
        <f t="shared" si="379"/>
        <v>7.076</v>
      </c>
      <c r="AM118" s="6">
        <v>22.0</v>
      </c>
      <c r="AO118" s="59">
        <f t="shared" si="380"/>
        <v>3.3</v>
      </c>
      <c r="AQ118" s="6">
        <v>3.13</v>
      </c>
      <c r="AR118" s="6">
        <v>0.02</v>
      </c>
      <c r="AU118" s="59">
        <f t="shared" si="381"/>
        <v>9.649</v>
      </c>
      <c r="AV118" s="14">
        <f t="shared" si="382"/>
        <v>43.85909091</v>
      </c>
      <c r="AW118" s="59">
        <f t="shared" si="383"/>
        <v>8.474</v>
      </c>
      <c r="AX118" s="14">
        <f t="shared" si="384"/>
        <v>38.51818182</v>
      </c>
    </row>
    <row r="119">
      <c r="P119" s="59"/>
      <c r="AB119" s="59"/>
      <c r="AD119" s="59"/>
      <c r="AI119" s="59"/>
      <c r="AJ119" s="91"/>
      <c r="AK119" s="59"/>
      <c r="AO119" s="59"/>
    </row>
    <row r="120">
      <c r="P120" s="59"/>
      <c r="AB120" s="59"/>
      <c r="AD120" s="59"/>
      <c r="AI120" s="59"/>
      <c r="AJ120" s="91"/>
      <c r="AK120" s="59"/>
      <c r="AO120" s="59"/>
    </row>
    <row r="121">
      <c r="P121" s="59"/>
      <c r="AB121" s="59"/>
      <c r="AD121" s="59"/>
      <c r="AI121" s="59"/>
      <c r="AJ121" s="91"/>
      <c r="AK121" s="59"/>
      <c r="AO121" s="59"/>
    </row>
    <row r="122">
      <c r="P122" s="59"/>
      <c r="AB122" s="59"/>
      <c r="AD122" s="59"/>
      <c r="AI122" s="59"/>
      <c r="AJ122" s="91"/>
      <c r="AK122" s="59"/>
      <c r="AO122" s="59"/>
    </row>
    <row r="123">
      <c r="P123" s="59"/>
      <c r="AB123" s="59"/>
      <c r="AD123" s="59"/>
      <c r="AI123" s="59"/>
      <c r="AJ123" s="91"/>
      <c r="AK123" s="59"/>
      <c r="AO123" s="59"/>
    </row>
    <row r="124">
      <c r="P124" s="59"/>
      <c r="AB124" s="59"/>
      <c r="AD124" s="59"/>
      <c r="AI124" s="59"/>
      <c r="AJ124" s="91"/>
      <c r="AK124" s="59"/>
      <c r="AO124" s="59"/>
    </row>
    <row r="125">
      <c r="P125" s="59"/>
      <c r="AB125" s="59"/>
      <c r="AD125" s="59"/>
      <c r="AI125" s="59"/>
      <c r="AJ125" s="91"/>
      <c r="AK125" s="59"/>
      <c r="AO125" s="59"/>
    </row>
    <row r="126">
      <c r="P126" s="59"/>
      <c r="AB126" s="59"/>
      <c r="AD126" s="59"/>
      <c r="AI126" s="59"/>
      <c r="AJ126" s="91"/>
      <c r="AK126" s="59"/>
      <c r="AO126" s="59"/>
    </row>
    <row r="127">
      <c r="P127" s="59"/>
      <c r="AB127" s="59"/>
      <c r="AD127" s="59"/>
      <c r="AI127" s="59"/>
      <c r="AJ127" s="91"/>
      <c r="AK127" s="59"/>
      <c r="AO127" s="59"/>
    </row>
    <row r="128">
      <c r="P128" s="59"/>
      <c r="AB128" s="59"/>
      <c r="AD128" s="59"/>
      <c r="AI128" s="59"/>
      <c r="AJ128" s="91"/>
      <c r="AK128" s="59"/>
      <c r="AO128" s="59"/>
    </row>
    <row r="129">
      <c r="P129" s="59"/>
      <c r="AB129" s="59"/>
      <c r="AD129" s="59"/>
      <c r="AI129" s="59"/>
      <c r="AJ129" s="91"/>
      <c r="AK129" s="59"/>
      <c r="AO129" s="59"/>
    </row>
    <row r="130">
      <c r="P130" s="59"/>
      <c r="AB130" s="59"/>
      <c r="AD130" s="59"/>
      <c r="AI130" s="59"/>
      <c r="AJ130" s="91"/>
      <c r="AK130" s="59"/>
      <c r="AO130" s="59"/>
    </row>
    <row r="131">
      <c r="P131" s="59"/>
      <c r="AB131" s="59"/>
      <c r="AD131" s="59"/>
      <c r="AI131" s="59"/>
      <c r="AJ131" s="91"/>
      <c r="AK131" s="59"/>
      <c r="AO131" s="59"/>
    </row>
    <row r="132">
      <c r="P132" s="59"/>
      <c r="AB132" s="59"/>
      <c r="AD132" s="59"/>
      <c r="AI132" s="59"/>
      <c r="AJ132" s="91"/>
      <c r="AK132" s="59"/>
      <c r="AO132" s="59"/>
    </row>
    <row r="133">
      <c r="P133" s="59"/>
      <c r="AB133" s="59"/>
      <c r="AD133" s="59"/>
      <c r="AI133" s="59"/>
      <c r="AJ133" s="91"/>
      <c r="AK133" s="59"/>
      <c r="AO133" s="59"/>
    </row>
    <row r="134">
      <c r="P134" s="59"/>
      <c r="AB134" s="59"/>
      <c r="AD134" s="59"/>
      <c r="AI134" s="59"/>
      <c r="AJ134" s="91"/>
      <c r="AK134" s="59"/>
      <c r="AO134" s="59"/>
    </row>
    <row r="135">
      <c r="P135" s="59"/>
      <c r="AB135" s="59"/>
      <c r="AD135" s="59"/>
      <c r="AI135" s="59"/>
      <c r="AJ135" s="91"/>
      <c r="AK135" s="59"/>
      <c r="AO135" s="59"/>
    </row>
    <row r="136">
      <c r="P136" s="59"/>
      <c r="AB136" s="59"/>
      <c r="AD136" s="59"/>
      <c r="AI136" s="59"/>
      <c r="AJ136" s="91"/>
      <c r="AK136" s="59"/>
      <c r="AO136" s="59"/>
    </row>
    <row r="137">
      <c r="P137" s="59"/>
      <c r="AB137" s="59"/>
      <c r="AD137" s="59"/>
      <c r="AI137" s="59"/>
      <c r="AJ137" s="91"/>
      <c r="AK137" s="59"/>
      <c r="AO137" s="59"/>
    </row>
    <row r="138">
      <c r="P138" s="59"/>
      <c r="AB138" s="59"/>
      <c r="AD138" s="59"/>
      <c r="AI138" s="59"/>
      <c r="AJ138" s="91"/>
      <c r="AK138" s="59"/>
      <c r="AO138" s="59"/>
    </row>
    <row r="139">
      <c r="P139" s="59"/>
      <c r="AB139" s="59"/>
      <c r="AD139" s="59"/>
      <c r="AI139" s="59"/>
      <c r="AJ139" s="91"/>
      <c r="AK139" s="59"/>
      <c r="AO139" s="59"/>
    </row>
    <row r="140">
      <c r="P140" s="59"/>
      <c r="AB140" s="59"/>
      <c r="AD140" s="59"/>
      <c r="AI140" s="59"/>
      <c r="AJ140" s="91"/>
      <c r="AK140" s="59"/>
      <c r="AO140" s="59"/>
    </row>
    <row r="141">
      <c r="P141" s="59"/>
      <c r="AB141" s="59"/>
      <c r="AD141" s="59"/>
      <c r="AI141" s="59"/>
      <c r="AJ141" s="91"/>
      <c r="AK141" s="59"/>
      <c r="AO141" s="59"/>
    </row>
    <row r="142">
      <c r="P142" s="59"/>
      <c r="AB142" s="59"/>
      <c r="AD142" s="59"/>
      <c r="AI142" s="59"/>
      <c r="AJ142" s="91"/>
      <c r="AK142" s="59"/>
      <c r="AO142" s="59"/>
    </row>
    <row r="143">
      <c r="P143" s="59"/>
      <c r="AB143" s="59"/>
      <c r="AD143" s="59"/>
      <c r="AI143" s="59"/>
      <c r="AJ143" s="91"/>
      <c r="AK143" s="59"/>
      <c r="AO143" s="59"/>
    </row>
    <row r="144">
      <c r="P144" s="59"/>
      <c r="AB144" s="59"/>
      <c r="AD144" s="59"/>
      <c r="AI144" s="59"/>
      <c r="AJ144" s="91"/>
      <c r="AK144" s="59"/>
      <c r="AO144" s="59"/>
    </row>
    <row r="145">
      <c r="P145" s="59"/>
      <c r="AB145" s="59"/>
      <c r="AD145" s="59"/>
      <c r="AI145" s="59"/>
      <c r="AJ145" s="91"/>
      <c r="AK145" s="59"/>
      <c r="AO145" s="59"/>
    </row>
    <row r="146">
      <c r="P146" s="59"/>
      <c r="AB146" s="59"/>
      <c r="AD146" s="59"/>
      <c r="AI146" s="59"/>
      <c r="AJ146" s="91"/>
      <c r="AK146" s="59"/>
      <c r="AO146" s="59"/>
    </row>
    <row r="147">
      <c r="P147" s="59"/>
      <c r="AB147" s="59"/>
      <c r="AD147" s="59"/>
      <c r="AI147" s="59"/>
      <c r="AJ147" s="91"/>
      <c r="AK147" s="59"/>
      <c r="AO147" s="59"/>
    </row>
    <row r="148">
      <c r="P148" s="59"/>
      <c r="AB148" s="59"/>
      <c r="AD148" s="59"/>
      <c r="AI148" s="59"/>
      <c r="AJ148" s="91"/>
      <c r="AK148" s="59"/>
      <c r="AO148" s="59"/>
    </row>
    <row r="149">
      <c r="P149" s="59"/>
      <c r="AB149" s="59"/>
      <c r="AD149" s="59"/>
      <c r="AI149" s="59"/>
      <c r="AJ149" s="91"/>
      <c r="AK149" s="59"/>
      <c r="AO149" s="59"/>
    </row>
    <row r="150">
      <c r="P150" s="59"/>
      <c r="AB150" s="59"/>
      <c r="AD150" s="59"/>
      <c r="AI150" s="59"/>
      <c r="AJ150" s="91"/>
      <c r="AK150" s="59"/>
      <c r="AO150" s="59"/>
    </row>
    <row r="151">
      <c r="P151" s="59"/>
      <c r="AB151" s="59"/>
      <c r="AD151" s="59"/>
      <c r="AI151" s="59"/>
      <c r="AJ151" s="91"/>
      <c r="AK151" s="59"/>
      <c r="AO151" s="59"/>
    </row>
    <row r="152">
      <c r="P152" s="59"/>
      <c r="AB152" s="59"/>
      <c r="AD152" s="59"/>
      <c r="AI152" s="59"/>
      <c r="AJ152" s="91"/>
      <c r="AK152" s="59"/>
      <c r="AO152" s="59"/>
    </row>
    <row r="153">
      <c r="P153" s="59"/>
      <c r="AB153" s="59"/>
      <c r="AD153" s="59"/>
      <c r="AI153" s="59"/>
      <c r="AJ153" s="91"/>
      <c r="AK153" s="59"/>
      <c r="AO153" s="59"/>
    </row>
    <row r="154">
      <c r="P154" s="59"/>
      <c r="AB154" s="59"/>
      <c r="AD154" s="59"/>
      <c r="AI154" s="59"/>
      <c r="AJ154" s="91"/>
      <c r="AK154" s="59"/>
      <c r="AO154" s="59"/>
    </row>
    <row r="155">
      <c r="P155" s="59"/>
      <c r="AB155" s="59"/>
      <c r="AD155" s="59"/>
      <c r="AI155" s="59"/>
      <c r="AJ155" s="91"/>
      <c r="AK155" s="59"/>
      <c r="AO155" s="59"/>
    </row>
    <row r="156">
      <c r="P156" s="59"/>
      <c r="AB156" s="59"/>
      <c r="AD156" s="59"/>
      <c r="AI156" s="59"/>
      <c r="AJ156" s="91"/>
      <c r="AK156" s="59"/>
      <c r="AO156" s="59"/>
    </row>
    <row r="157">
      <c r="P157" s="59"/>
      <c r="AB157" s="59"/>
      <c r="AD157" s="59"/>
      <c r="AI157" s="59"/>
      <c r="AJ157" s="91"/>
      <c r="AK157" s="59"/>
      <c r="AO157" s="59"/>
    </row>
    <row r="158">
      <c r="P158" s="59"/>
      <c r="AB158" s="59"/>
      <c r="AD158" s="59"/>
      <c r="AI158" s="59"/>
      <c r="AJ158" s="91"/>
      <c r="AK158" s="59"/>
      <c r="AO158" s="59"/>
    </row>
    <row r="159">
      <c r="P159" s="59"/>
      <c r="AB159" s="59"/>
      <c r="AD159" s="59"/>
      <c r="AI159" s="59"/>
      <c r="AJ159" s="91"/>
      <c r="AK159" s="59"/>
      <c r="AO159" s="59"/>
    </row>
    <row r="160">
      <c r="P160" s="59"/>
      <c r="AB160" s="59"/>
      <c r="AD160" s="59"/>
      <c r="AI160" s="59"/>
      <c r="AJ160" s="91"/>
      <c r="AK160" s="59"/>
      <c r="AO160" s="59"/>
    </row>
    <row r="161">
      <c r="P161" s="59"/>
      <c r="AB161" s="59"/>
      <c r="AD161" s="59"/>
      <c r="AI161" s="59"/>
      <c r="AJ161" s="91"/>
      <c r="AK161" s="59"/>
      <c r="AO161" s="59"/>
    </row>
    <row r="162">
      <c r="P162" s="59"/>
      <c r="AB162" s="59"/>
      <c r="AD162" s="59"/>
      <c r="AI162" s="59"/>
      <c r="AJ162" s="91"/>
      <c r="AK162" s="59"/>
      <c r="AO162" s="59"/>
    </row>
    <row r="163">
      <c r="P163" s="59"/>
      <c r="AB163" s="59"/>
      <c r="AD163" s="59"/>
      <c r="AI163" s="59"/>
      <c r="AJ163" s="91"/>
      <c r="AK163" s="59"/>
      <c r="AO163" s="59"/>
    </row>
    <row r="164">
      <c r="P164" s="59"/>
      <c r="AB164" s="59"/>
      <c r="AD164" s="59"/>
      <c r="AI164" s="59"/>
      <c r="AJ164" s="91"/>
      <c r="AK164" s="59"/>
      <c r="AO164" s="59"/>
    </row>
    <row r="165">
      <c r="P165" s="59"/>
      <c r="AB165" s="59"/>
      <c r="AD165" s="59"/>
      <c r="AI165" s="59"/>
      <c r="AJ165" s="91"/>
      <c r="AK165" s="59"/>
      <c r="AO165" s="59"/>
    </row>
    <row r="166">
      <c r="P166" s="59"/>
      <c r="AB166" s="59"/>
      <c r="AD166" s="59"/>
      <c r="AI166" s="59"/>
      <c r="AJ166" s="91"/>
      <c r="AK166" s="59"/>
      <c r="AO166" s="59"/>
    </row>
    <row r="167">
      <c r="P167" s="59"/>
      <c r="AB167" s="59"/>
      <c r="AD167" s="59"/>
      <c r="AI167" s="59"/>
      <c r="AJ167" s="91"/>
      <c r="AK167" s="59"/>
      <c r="AO167" s="59"/>
    </row>
    <row r="168">
      <c r="P168" s="59"/>
      <c r="AB168" s="59"/>
      <c r="AD168" s="59"/>
      <c r="AI168" s="59"/>
      <c r="AJ168" s="91"/>
      <c r="AK168" s="59"/>
      <c r="AO168" s="59"/>
    </row>
    <row r="169">
      <c r="P169" s="59"/>
      <c r="AB169" s="59"/>
      <c r="AD169" s="59"/>
      <c r="AI169" s="59"/>
      <c r="AJ169" s="91"/>
      <c r="AK169" s="59"/>
      <c r="AO169" s="59"/>
    </row>
    <row r="170">
      <c r="P170" s="59"/>
      <c r="AB170" s="59"/>
      <c r="AD170" s="59"/>
      <c r="AI170" s="59"/>
      <c r="AJ170" s="91"/>
      <c r="AK170" s="59"/>
      <c r="AO170" s="59"/>
    </row>
    <row r="171">
      <c r="P171" s="59"/>
      <c r="AB171" s="59"/>
      <c r="AD171" s="59"/>
      <c r="AI171" s="59"/>
      <c r="AJ171" s="91"/>
      <c r="AK171" s="59"/>
      <c r="AO171" s="59"/>
    </row>
    <row r="172">
      <c r="P172" s="59"/>
      <c r="AB172" s="59"/>
      <c r="AD172" s="59"/>
      <c r="AI172" s="59"/>
      <c r="AJ172" s="91"/>
      <c r="AK172" s="59"/>
      <c r="AO172" s="59"/>
    </row>
    <row r="173">
      <c r="P173" s="59"/>
      <c r="AB173" s="59"/>
      <c r="AD173" s="59"/>
      <c r="AI173" s="59"/>
      <c r="AJ173" s="91"/>
      <c r="AK173" s="59"/>
      <c r="AO173" s="59"/>
    </row>
    <row r="174">
      <c r="P174" s="59"/>
      <c r="AB174" s="59"/>
      <c r="AD174" s="59"/>
      <c r="AI174" s="59"/>
      <c r="AJ174" s="91"/>
      <c r="AK174" s="59"/>
      <c r="AO174" s="59"/>
    </row>
    <row r="175">
      <c r="P175" s="59"/>
      <c r="AB175" s="59"/>
      <c r="AD175" s="59"/>
      <c r="AI175" s="59"/>
      <c r="AJ175" s="91"/>
      <c r="AK175" s="59"/>
      <c r="AO175" s="59"/>
    </row>
    <row r="176">
      <c r="P176" s="59"/>
      <c r="AB176" s="59"/>
      <c r="AD176" s="59"/>
      <c r="AI176" s="59"/>
      <c r="AJ176" s="91"/>
      <c r="AK176" s="59"/>
      <c r="AO176" s="59"/>
    </row>
    <row r="177">
      <c r="P177" s="59"/>
      <c r="AB177" s="59"/>
      <c r="AD177" s="59"/>
      <c r="AI177" s="59"/>
      <c r="AJ177" s="91"/>
      <c r="AK177" s="59"/>
      <c r="AO177" s="59"/>
    </row>
    <row r="178">
      <c r="P178" s="59"/>
      <c r="AB178" s="59"/>
      <c r="AD178" s="59"/>
      <c r="AI178" s="59"/>
      <c r="AJ178" s="91"/>
      <c r="AK178" s="59"/>
      <c r="AO178" s="59"/>
    </row>
    <row r="179">
      <c r="P179" s="59"/>
      <c r="AB179" s="59"/>
      <c r="AD179" s="59"/>
      <c r="AI179" s="59"/>
      <c r="AJ179" s="91"/>
      <c r="AK179" s="59"/>
      <c r="AO179" s="59"/>
    </row>
    <row r="180">
      <c r="P180" s="59"/>
      <c r="AB180" s="59"/>
      <c r="AD180" s="59"/>
      <c r="AI180" s="59"/>
      <c r="AJ180" s="91"/>
      <c r="AK180" s="59"/>
      <c r="AO180" s="59"/>
    </row>
    <row r="181">
      <c r="P181" s="59"/>
      <c r="AB181" s="59"/>
      <c r="AD181" s="59"/>
      <c r="AI181" s="59"/>
      <c r="AJ181" s="91"/>
      <c r="AK181" s="59"/>
      <c r="AO181" s="59"/>
    </row>
    <row r="182">
      <c r="P182" s="59"/>
      <c r="AB182" s="59"/>
      <c r="AD182" s="59"/>
      <c r="AI182" s="59"/>
      <c r="AJ182" s="91"/>
      <c r="AK182" s="59"/>
      <c r="AO182" s="59"/>
    </row>
    <row r="183">
      <c r="P183" s="59"/>
      <c r="AB183" s="59"/>
      <c r="AD183" s="59"/>
      <c r="AI183" s="59"/>
      <c r="AJ183" s="91"/>
      <c r="AK183" s="59"/>
      <c r="AO183" s="59"/>
    </row>
    <row r="184">
      <c r="P184" s="59"/>
      <c r="AB184" s="59"/>
      <c r="AD184" s="59"/>
      <c r="AI184" s="59"/>
      <c r="AJ184" s="91"/>
      <c r="AK184" s="59"/>
      <c r="AO184" s="59"/>
    </row>
    <row r="185">
      <c r="P185" s="59"/>
      <c r="AB185" s="59"/>
      <c r="AD185" s="59"/>
      <c r="AI185" s="59"/>
      <c r="AJ185" s="91"/>
      <c r="AK185" s="59"/>
      <c r="AO185" s="59"/>
    </row>
    <row r="186">
      <c r="P186" s="59"/>
      <c r="AB186" s="59"/>
      <c r="AD186" s="59"/>
      <c r="AI186" s="59"/>
      <c r="AJ186" s="91"/>
      <c r="AK186" s="59"/>
      <c r="AO186" s="59"/>
    </row>
    <row r="187">
      <c r="P187" s="59"/>
      <c r="AB187" s="59"/>
      <c r="AD187" s="59"/>
      <c r="AI187" s="59"/>
      <c r="AJ187" s="91"/>
      <c r="AK187" s="59"/>
      <c r="AO187" s="59"/>
    </row>
    <row r="188">
      <c r="P188" s="59"/>
      <c r="AB188" s="59"/>
      <c r="AD188" s="59"/>
      <c r="AI188" s="59"/>
      <c r="AJ188" s="91"/>
      <c r="AK188" s="59"/>
      <c r="AO188" s="59"/>
    </row>
    <row r="189">
      <c r="P189" s="59"/>
      <c r="AB189" s="59"/>
      <c r="AD189" s="59"/>
      <c r="AI189" s="59"/>
      <c r="AJ189" s="91"/>
      <c r="AK189" s="59"/>
      <c r="AO189" s="59"/>
    </row>
    <row r="190">
      <c r="P190" s="59"/>
      <c r="AB190" s="59"/>
      <c r="AD190" s="59"/>
      <c r="AI190" s="59"/>
      <c r="AJ190" s="91"/>
      <c r="AK190" s="59"/>
      <c r="AO190" s="59"/>
    </row>
    <row r="191">
      <c r="P191" s="59"/>
      <c r="AB191" s="59"/>
      <c r="AD191" s="59"/>
      <c r="AI191" s="59"/>
      <c r="AJ191" s="91"/>
      <c r="AK191" s="59"/>
      <c r="AO191" s="59"/>
    </row>
    <row r="192">
      <c r="P192" s="59"/>
      <c r="AB192" s="59"/>
      <c r="AD192" s="59"/>
      <c r="AI192" s="59"/>
      <c r="AJ192" s="91"/>
      <c r="AK192" s="59"/>
      <c r="AO192" s="59"/>
    </row>
    <row r="193">
      <c r="P193" s="59"/>
      <c r="AB193" s="59"/>
      <c r="AD193" s="59"/>
      <c r="AI193" s="59"/>
      <c r="AJ193" s="91"/>
      <c r="AK193" s="59"/>
      <c r="AO193" s="59"/>
    </row>
    <row r="194">
      <c r="P194" s="59"/>
      <c r="AB194" s="59"/>
      <c r="AD194" s="59"/>
      <c r="AI194" s="59"/>
      <c r="AJ194" s="91"/>
      <c r="AK194" s="59"/>
      <c r="AO194" s="59"/>
    </row>
    <row r="195">
      <c r="P195" s="59"/>
      <c r="AB195" s="59"/>
      <c r="AD195" s="59"/>
      <c r="AI195" s="59"/>
      <c r="AJ195" s="91"/>
      <c r="AK195" s="59"/>
      <c r="AO195" s="59"/>
    </row>
    <row r="196">
      <c r="P196" s="59"/>
      <c r="AB196" s="59"/>
      <c r="AD196" s="59"/>
      <c r="AI196" s="59"/>
      <c r="AJ196" s="91"/>
      <c r="AK196" s="59"/>
      <c r="AO196" s="59"/>
    </row>
    <row r="197">
      <c r="P197" s="59"/>
      <c r="AB197" s="59"/>
      <c r="AD197" s="59"/>
      <c r="AI197" s="59"/>
      <c r="AJ197" s="91"/>
      <c r="AK197" s="59"/>
      <c r="AO197" s="59"/>
    </row>
    <row r="198">
      <c r="P198" s="59"/>
      <c r="AB198" s="59"/>
      <c r="AD198" s="59"/>
      <c r="AI198" s="59"/>
      <c r="AJ198" s="91"/>
      <c r="AK198" s="59"/>
      <c r="AO198" s="59"/>
    </row>
    <row r="199">
      <c r="P199" s="59"/>
      <c r="AB199" s="59"/>
      <c r="AD199" s="59"/>
      <c r="AI199" s="59"/>
      <c r="AJ199" s="91"/>
      <c r="AK199" s="59"/>
      <c r="AO199" s="59"/>
    </row>
    <row r="200">
      <c r="P200" s="59"/>
      <c r="AB200" s="59"/>
      <c r="AD200" s="59"/>
      <c r="AI200" s="59"/>
      <c r="AJ200" s="91"/>
      <c r="AK200" s="59"/>
      <c r="AO200" s="59"/>
    </row>
    <row r="201">
      <c r="P201" s="59"/>
      <c r="AB201" s="59"/>
      <c r="AD201" s="59"/>
      <c r="AI201" s="59"/>
      <c r="AJ201" s="91"/>
      <c r="AK201" s="59"/>
      <c r="AO201" s="59"/>
    </row>
    <row r="202">
      <c r="P202" s="59"/>
      <c r="AB202" s="59"/>
      <c r="AD202" s="59"/>
      <c r="AI202" s="59"/>
      <c r="AJ202" s="91"/>
      <c r="AK202" s="59"/>
      <c r="AO202" s="59"/>
    </row>
    <row r="203">
      <c r="P203" s="59"/>
      <c r="AB203" s="59"/>
      <c r="AD203" s="59"/>
      <c r="AI203" s="59"/>
      <c r="AJ203" s="91"/>
      <c r="AK203" s="59"/>
      <c r="AO203" s="59"/>
    </row>
    <row r="204">
      <c r="P204" s="59"/>
      <c r="AB204" s="59"/>
      <c r="AD204" s="59"/>
      <c r="AI204" s="59"/>
      <c r="AJ204" s="91"/>
      <c r="AK204" s="59"/>
      <c r="AO204" s="59"/>
    </row>
    <row r="205">
      <c r="P205" s="59"/>
      <c r="AB205" s="59"/>
      <c r="AD205" s="59"/>
      <c r="AI205" s="59"/>
      <c r="AJ205" s="91"/>
      <c r="AK205" s="59"/>
      <c r="AO205" s="59"/>
    </row>
    <row r="206">
      <c r="P206" s="59"/>
      <c r="AB206" s="59"/>
      <c r="AD206" s="59"/>
      <c r="AI206" s="59"/>
      <c r="AJ206" s="91"/>
      <c r="AK206" s="59"/>
      <c r="AO206" s="59"/>
    </row>
    <row r="207">
      <c r="P207" s="59"/>
      <c r="AB207" s="59"/>
      <c r="AD207" s="59"/>
      <c r="AI207" s="59"/>
      <c r="AJ207" s="91"/>
      <c r="AK207" s="59"/>
      <c r="AO207" s="59"/>
    </row>
    <row r="208">
      <c r="P208" s="59"/>
      <c r="AB208" s="59"/>
      <c r="AD208" s="59"/>
      <c r="AI208" s="59"/>
      <c r="AJ208" s="91"/>
      <c r="AK208" s="59"/>
      <c r="AO208" s="59"/>
    </row>
    <row r="209">
      <c r="P209" s="59"/>
      <c r="AB209" s="59"/>
      <c r="AD209" s="59"/>
      <c r="AI209" s="59"/>
      <c r="AJ209" s="91"/>
      <c r="AK209" s="59"/>
      <c r="AO209" s="59"/>
    </row>
    <row r="210">
      <c r="P210" s="59"/>
      <c r="AB210" s="59"/>
      <c r="AD210" s="59"/>
      <c r="AI210" s="59"/>
      <c r="AJ210" s="91"/>
      <c r="AK210" s="59"/>
      <c r="AO210" s="59"/>
    </row>
    <row r="211">
      <c r="P211" s="59"/>
      <c r="AB211" s="59"/>
      <c r="AD211" s="59"/>
      <c r="AI211" s="59"/>
      <c r="AJ211" s="91"/>
      <c r="AK211" s="59"/>
      <c r="AO211" s="59"/>
    </row>
    <row r="212">
      <c r="P212" s="59"/>
      <c r="AB212" s="59"/>
      <c r="AD212" s="59"/>
      <c r="AI212" s="59"/>
      <c r="AJ212" s="91"/>
      <c r="AK212" s="59"/>
      <c r="AO212" s="59"/>
    </row>
    <row r="213">
      <c r="P213" s="59"/>
      <c r="AB213" s="59"/>
      <c r="AD213" s="59"/>
      <c r="AI213" s="59"/>
      <c r="AJ213" s="91"/>
      <c r="AK213" s="59"/>
      <c r="AO213" s="59"/>
    </row>
    <row r="214">
      <c r="P214" s="59"/>
      <c r="AB214" s="59"/>
      <c r="AD214" s="59"/>
      <c r="AI214" s="59"/>
      <c r="AJ214" s="91"/>
      <c r="AK214" s="59"/>
      <c r="AO214" s="59"/>
    </row>
    <row r="215">
      <c r="P215" s="59"/>
      <c r="AB215" s="59"/>
      <c r="AD215" s="59"/>
      <c r="AI215" s="59"/>
      <c r="AJ215" s="91"/>
      <c r="AK215" s="59"/>
      <c r="AO215" s="59"/>
    </row>
    <row r="216">
      <c r="P216" s="59"/>
      <c r="AB216" s="59"/>
      <c r="AD216" s="59"/>
      <c r="AI216" s="59"/>
      <c r="AJ216" s="91"/>
      <c r="AK216" s="59"/>
      <c r="AO216" s="59"/>
    </row>
    <row r="217">
      <c r="P217" s="59"/>
      <c r="AB217" s="59"/>
      <c r="AD217" s="59"/>
      <c r="AI217" s="59"/>
      <c r="AJ217" s="91"/>
      <c r="AK217" s="59"/>
      <c r="AO217" s="59"/>
    </row>
    <row r="218">
      <c r="P218" s="59"/>
      <c r="AB218" s="59"/>
      <c r="AD218" s="59"/>
      <c r="AI218" s="59"/>
      <c r="AJ218" s="91"/>
      <c r="AK218" s="59"/>
      <c r="AO218" s="59"/>
    </row>
    <row r="219">
      <c r="P219" s="59"/>
      <c r="AB219" s="59"/>
      <c r="AD219" s="59"/>
      <c r="AI219" s="59"/>
      <c r="AJ219" s="91"/>
      <c r="AK219" s="59"/>
      <c r="AO219" s="59"/>
    </row>
    <row r="220">
      <c r="P220" s="59"/>
      <c r="AB220" s="59"/>
      <c r="AD220" s="59"/>
      <c r="AI220" s="59"/>
      <c r="AJ220" s="91"/>
      <c r="AK220" s="59"/>
      <c r="AO220" s="59"/>
    </row>
    <row r="221">
      <c r="P221" s="59"/>
      <c r="AB221" s="59"/>
      <c r="AD221" s="59"/>
      <c r="AI221" s="59"/>
      <c r="AJ221" s="91"/>
      <c r="AK221" s="59"/>
      <c r="AO221" s="59"/>
    </row>
    <row r="222">
      <c r="P222" s="59"/>
      <c r="AB222" s="59"/>
      <c r="AD222" s="59"/>
      <c r="AI222" s="59"/>
      <c r="AJ222" s="91"/>
      <c r="AK222" s="59"/>
      <c r="AO222" s="59"/>
    </row>
    <row r="223">
      <c r="P223" s="59"/>
      <c r="AB223" s="59"/>
      <c r="AD223" s="59"/>
      <c r="AI223" s="59"/>
      <c r="AJ223" s="91"/>
      <c r="AK223" s="59"/>
      <c r="AO223" s="59"/>
    </row>
    <row r="224">
      <c r="P224" s="59"/>
      <c r="AB224" s="59"/>
      <c r="AD224" s="59"/>
      <c r="AI224" s="59"/>
      <c r="AJ224" s="91"/>
      <c r="AK224" s="59"/>
      <c r="AO224" s="59"/>
    </row>
    <row r="225">
      <c r="P225" s="59"/>
      <c r="AB225" s="59"/>
      <c r="AD225" s="59"/>
      <c r="AI225" s="59"/>
      <c r="AJ225" s="91"/>
      <c r="AK225" s="59"/>
      <c r="AO225" s="59"/>
    </row>
    <row r="226">
      <c r="P226" s="59"/>
      <c r="AB226" s="59"/>
      <c r="AD226" s="59"/>
      <c r="AI226" s="59"/>
      <c r="AJ226" s="91"/>
      <c r="AK226" s="59"/>
      <c r="AO226" s="59"/>
    </row>
    <row r="227">
      <c r="P227" s="59"/>
      <c r="AB227" s="59"/>
      <c r="AD227" s="59"/>
      <c r="AI227" s="59"/>
      <c r="AJ227" s="91"/>
      <c r="AK227" s="59"/>
      <c r="AO227" s="59"/>
    </row>
    <row r="228">
      <c r="P228" s="59"/>
      <c r="AB228" s="59"/>
      <c r="AD228" s="59"/>
      <c r="AI228" s="59"/>
      <c r="AJ228" s="91"/>
      <c r="AK228" s="59"/>
      <c r="AO228" s="59"/>
    </row>
    <row r="229">
      <c r="P229" s="59"/>
      <c r="AB229" s="59"/>
      <c r="AD229" s="59"/>
      <c r="AI229" s="59"/>
      <c r="AJ229" s="91"/>
      <c r="AK229" s="59"/>
      <c r="AO229" s="59"/>
    </row>
    <row r="230">
      <c r="P230" s="59"/>
      <c r="AB230" s="59"/>
      <c r="AD230" s="59"/>
      <c r="AI230" s="59"/>
      <c r="AJ230" s="91"/>
      <c r="AK230" s="59"/>
      <c r="AO230" s="59"/>
    </row>
    <row r="231">
      <c r="P231" s="59"/>
      <c r="AB231" s="59"/>
      <c r="AD231" s="59"/>
      <c r="AI231" s="59"/>
      <c r="AJ231" s="91"/>
      <c r="AK231" s="59"/>
      <c r="AO231" s="59"/>
    </row>
    <row r="232">
      <c r="P232" s="59"/>
      <c r="AB232" s="59"/>
      <c r="AD232" s="59"/>
      <c r="AI232" s="59"/>
      <c r="AJ232" s="91"/>
      <c r="AK232" s="59"/>
      <c r="AO232" s="59"/>
    </row>
    <row r="233">
      <c r="P233" s="59"/>
      <c r="AB233" s="59"/>
      <c r="AD233" s="59"/>
      <c r="AI233" s="59"/>
      <c r="AJ233" s="91"/>
      <c r="AK233" s="59"/>
      <c r="AO233" s="59"/>
    </row>
    <row r="234">
      <c r="P234" s="59"/>
      <c r="AB234" s="59"/>
      <c r="AD234" s="59"/>
      <c r="AI234" s="59"/>
      <c r="AJ234" s="91"/>
      <c r="AK234" s="59"/>
      <c r="AO234" s="59"/>
    </row>
    <row r="235">
      <c r="P235" s="59"/>
      <c r="AB235" s="59"/>
      <c r="AD235" s="59"/>
      <c r="AI235" s="59"/>
      <c r="AJ235" s="91"/>
      <c r="AK235" s="59"/>
      <c r="AO235" s="59"/>
    </row>
    <row r="236">
      <c r="P236" s="59"/>
      <c r="AB236" s="59"/>
      <c r="AD236" s="59"/>
      <c r="AI236" s="59"/>
      <c r="AJ236" s="91"/>
      <c r="AK236" s="59"/>
      <c r="AO236" s="59"/>
    </row>
    <row r="237">
      <c r="P237" s="59"/>
      <c r="AB237" s="59"/>
      <c r="AD237" s="59"/>
      <c r="AI237" s="59"/>
      <c r="AJ237" s="91"/>
      <c r="AK237" s="59"/>
      <c r="AO237" s="59"/>
    </row>
    <row r="238">
      <c r="P238" s="59"/>
      <c r="AB238" s="59"/>
      <c r="AD238" s="59"/>
      <c r="AI238" s="59"/>
      <c r="AJ238" s="91"/>
      <c r="AK238" s="59"/>
      <c r="AO238" s="59"/>
    </row>
    <row r="239">
      <c r="P239" s="59"/>
      <c r="AB239" s="59"/>
      <c r="AD239" s="59"/>
      <c r="AI239" s="59"/>
      <c r="AJ239" s="91"/>
      <c r="AK239" s="59"/>
      <c r="AO239" s="59"/>
    </row>
    <row r="240">
      <c r="P240" s="59"/>
      <c r="AB240" s="59"/>
      <c r="AD240" s="59"/>
      <c r="AI240" s="59"/>
      <c r="AJ240" s="91"/>
      <c r="AK240" s="59"/>
      <c r="AO240" s="59"/>
    </row>
    <row r="241">
      <c r="P241" s="59"/>
      <c r="AB241" s="59"/>
      <c r="AD241" s="59"/>
      <c r="AI241" s="59"/>
      <c r="AJ241" s="91"/>
      <c r="AK241" s="59"/>
      <c r="AO241" s="59"/>
    </row>
    <row r="242">
      <c r="P242" s="59"/>
      <c r="AB242" s="59"/>
      <c r="AD242" s="59"/>
      <c r="AI242" s="59"/>
      <c r="AJ242" s="91"/>
      <c r="AK242" s="59"/>
      <c r="AO242" s="59"/>
    </row>
    <row r="243">
      <c r="P243" s="59"/>
      <c r="AB243" s="59"/>
      <c r="AD243" s="59"/>
      <c r="AI243" s="59"/>
      <c r="AJ243" s="91"/>
      <c r="AK243" s="59"/>
      <c r="AO243" s="59"/>
    </row>
    <row r="244">
      <c r="P244" s="59"/>
      <c r="AB244" s="59"/>
      <c r="AD244" s="59"/>
      <c r="AI244" s="59"/>
      <c r="AJ244" s="91"/>
      <c r="AK244" s="59"/>
      <c r="AO244" s="59"/>
    </row>
    <row r="245">
      <c r="P245" s="59"/>
      <c r="AB245" s="59"/>
      <c r="AD245" s="59"/>
      <c r="AI245" s="59"/>
      <c r="AJ245" s="91"/>
      <c r="AK245" s="59"/>
      <c r="AO245" s="59"/>
    </row>
    <row r="246">
      <c r="P246" s="59"/>
      <c r="AB246" s="59"/>
      <c r="AD246" s="59"/>
      <c r="AI246" s="59"/>
      <c r="AJ246" s="91"/>
      <c r="AK246" s="59"/>
      <c r="AO246" s="59"/>
    </row>
    <row r="247">
      <c r="P247" s="59"/>
      <c r="AB247" s="59"/>
      <c r="AD247" s="59"/>
      <c r="AI247" s="59"/>
      <c r="AJ247" s="91"/>
      <c r="AK247" s="59"/>
      <c r="AO247" s="59"/>
    </row>
    <row r="248">
      <c r="P248" s="59"/>
      <c r="AB248" s="59"/>
      <c r="AD248" s="59"/>
      <c r="AI248" s="59"/>
      <c r="AJ248" s="91"/>
      <c r="AK248" s="59"/>
      <c r="AO248" s="59"/>
    </row>
    <row r="249">
      <c r="P249" s="59"/>
      <c r="AB249" s="59"/>
      <c r="AD249" s="59"/>
      <c r="AI249" s="59"/>
      <c r="AJ249" s="91"/>
      <c r="AK249" s="59"/>
      <c r="AO249" s="59"/>
    </row>
    <row r="250">
      <c r="P250" s="59"/>
      <c r="AB250" s="59"/>
      <c r="AD250" s="59"/>
      <c r="AI250" s="59"/>
      <c r="AJ250" s="91"/>
      <c r="AK250" s="59"/>
      <c r="AO250" s="59"/>
    </row>
    <row r="251">
      <c r="P251" s="59"/>
      <c r="AB251" s="59"/>
      <c r="AD251" s="59"/>
      <c r="AI251" s="59"/>
      <c r="AJ251" s="91"/>
      <c r="AK251" s="59"/>
      <c r="AO251" s="59"/>
    </row>
    <row r="252">
      <c r="P252" s="59"/>
      <c r="AB252" s="59"/>
      <c r="AD252" s="59"/>
      <c r="AI252" s="59"/>
      <c r="AJ252" s="91"/>
      <c r="AK252" s="59"/>
      <c r="AO252" s="59"/>
    </row>
    <row r="253">
      <c r="P253" s="59"/>
      <c r="AB253" s="59"/>
      <c r="AD253" s="59"/>
      <c r="AI253" s="59"/>
      <c r="AJ253" s="91"/>
      <c r="AK253" s="59"/>
      <c r="AO253" s="59"/>
    </row>
    <row r="254">
      <c r="P254" s="59"/>
      <c r="AB254" s="59"/>
      <c r="AD254" s="59"/>
      <c r="AI254" s="59"/>
      <c r="AJ254" s="91"/>
      <c r="AK254" s="59"/>
      <c r="AO254" s="59"/>
    </row>
    <row r="255">
      <c r="P255" s="59"/>
      <c r="AB255" s="59"/>
      <c r="AD255" s="59"/>
      <c r="AI255" s="59"/>
      <c r="AJ255" s="91"/>
      <c r="AK255" s="59"/>
      <c r="AO255" s="59"/>
    </row>
    <row r="256">
      <c r="P256" s="59"/>
      <c r="AB256" s="59"/>
      <c r="AD256" s="59"/>
      <c r="AI256" s="59"/>
      <c r="AJ256" s="91"/>
      <c r="AK256" s="59"/>
      <c r="AO256" s="59"/>
    </row>
    <row r="257">
      <c r="P257" s="59"/>
      <c r="AB257" s="59"/>
      <c r="AD257" s="59"/>
      <c r="AI257" s="59"/>
      <c r="AJ257" s="91"/>
      <c r="AK257" s="59"/>
      <c r="AO257" s="59"/>
    </row>
    <row r="258">
      <c r="P258" s="59"/>
      <c r="AB258" s="59"/>
      <c r="AD258" s="59"/>
      <c r="AI258" s="59"/>
      <c r="AJ258" s="91"/>
      <c r="AK258" s="59"/>
      <c r="AO258" s="59"/>
    </row>
    <row r="259">
      <c r="P259" s="59"/>
      <c r="AB259" s="59"/>
      <c r="AD259" s="59"/>
      <c r="AI259" s="59"/>
      <c r="AJ259" s="91"/>
      <c r="AK259" s="59"/>
      <c r="AO259" s="59"/>
    </row>
    <row r="260">
      <c r="P260" s="59"/>
      <c r="AB260" s="59"/>
      <c r="AD260" s="59"/>
      <c r="AI260" s="59"/>
      <c r="AJ260" s="91"/>
      <c r="AK260" s="59"/>
      <c r="AO260" s="59"/>
    </row>
    <row r="261">
      <c r="P261" s="59"/>
      <c r="AB261" s="59"/>
      <c r="AD261" s="59"/>
      <c r="AI261" s="59"/>
      <c r="AJ261" s="91"/>
      <c r="AK261" s="59"/>
      <c r="AO261" s="59"/>
    </row>
    <row r="262">
      <c r="P262" s="59"/>
      <c r="AB262" s="59"/>
      <c r="AD262" s="59"/>
      <c r="AI262" s="59"/>
      <c r="AJ262" s="91"/>
      <c r="AK262" s="59"/>
      <c r="AO262" s="59"/>
    </row>
    <row r="263">
      <c r="P263" s="59"/>
      <c r="AB263" s="59"/>
      <c r="AD263" s="59"/>
      <c r="AI263" s="59"/>
      <c r="AJ263" s="91"/>
      <c r="AK263" s="59"/>
      <c r="AO263" s="59"/>
    </row>
    <row r="264">
      <c r="P264" s="59"/>
      <c r="AB264" s="59"/>
      <c r="AD264" s="59"/>
      <c r="AI264" s="59"/>
      <c r="AJ264" s="91"/>
      <c r="AK264" s="59"/>
      <c r="AO264" s="59"/>
    </row>
    <row r="265">
      <c r="P265" s="59"/>
      <c r="AB265" s="59"/>
      <c r="AD265" s="59"/>
      <c r="AI265" s="59"/>
      <c r="AJ265" s="91"/>
      <c r="AK265" s="59"/>
      <c r="AO265" s="59"/>
    </row>
    <row r="266">
      <c r="P266" s="59"/>
      <c r="AB266" s="59"/>
      <c r="AD266" s="59"/>
      <c r="AI266" s="59"/>
      <c r="AJ266" s="91"/>
      <c r="AK266" s="59"/>
      <c r="AO266" s="59"/>
    </row>
    <row r="267">
      <c r="P267" s="59"/>
      <c r="AB267" s="59"/>
      <c r="AD267" s="59"/>
      <c r="AI267" s="59"/>
      <c r="AJ267" s="91"/>
      <c r="AK267" s="59"/>
      <c r="AO267" s="59"/>
    </row>
    <row r="268">
      <c r="P268" s="59"/>
      <c r="AB268" s="59"/>
      <c r="AD268" s="59"/>
      <c r="AI268" s="59"/>
      <c r="AJ268" s="91"/>
      <c r="AK268" s="59"/>
      <c r="AO268" s="59"/>
    </row>
    <row r="269">
      <c r="P269" s="59"/>
      <c r="AB269" s="59"/>
      <c r="AD269" s="59"/>
      <c r="AI269" s="59"/>
      <c r="AJ269" s="91"/>
      <c r="AK269" s="59"/>
      <c r="AO269" s="59"/>
    </row>
    <row r="270">
      <c r="P270" s="59"/>
      <c r="AB270" s="59"/>
      <c r="AD270" s="59"/>
      <c r="AI270" s="59"/>
      <c r="AJ270" s="91"/>
      <c r="AK270" s="59"/>
      <c r="AO270" s="59"/>
    </row>
    <row r="271">
      <c r="P271" s="59"/>
      <c r="AB271" s="59"/>
      <c r="AD271" s="59"/>
      <c r="AI271" s="59"/>
      <c r="AJ271" s="91"/>
      <c r="AK271" s="59"/>
      <c r="AO271" s="59"/>
    </row>
    <row r="272">
      <c r="P272" s="59"/>
      <c r="AB272" s="59"/>
      <c r="AD272" s="59"/>
      <c r="AI272" s="59"/>
      <c r="AJ272" s="91"/>
      <c r="AK272" s="59"/>
      <c r="AO272" s="59"/>
    </row>
    <row r="273">
      <c r="P273" s="59"/>
      <c r="AB273" s="59"/>
      <c r="AD273" s="59"/>
      <c r="AI273" s="59"/>
      <c r="AJ273" s="91"/>
      <c r="AK273" s="59"/>
      <c r="AO273" s="59"/>
    </row>
    <row r="274">
      <c r="P274" s="59"/>
      <c r="AB274" s="59"/>
      <c r="AD274" s="59"/>
      <c r="AI274" s="59"/>
      <c r="AJ274" s="91"/>
      <c r="AK274" s="59"/>
      <c r="AO274" s="59"/>
    </row>
    <row r="275">
      <c r="P275" s="59"/>
      <c r="AB275" s="59"/>
      <c r="AD275" s="59"/>
      <c r="AI275" s="59"/>
      <c r="AJ275" s="91"/>
      <c r="AK275" s="59"/>
      <c r="AO275" s="59"/>
    </row>
    <row r="276">
      <c r="P276" s="59"/>
      <c r="AB276" s="59"/>
      <c r="AD276" s="59"/>
      <c r="AI276" s="59"/>
      <c r="AJ276" s="91"/>
      <c r="AK276" s="59"/>
      <c r="AO276" s="59"/>
    </row>
    <row r="277">
      <c r="P277" s="59"/>
      <c r="AB277" s="59"/>
      <c r="AD277" s="59"/>
      <c r="AI277" s="59"/>
      <c r="AJ277" s="91"/>
      <c r="AK277" s="59"/>
      <c r="AO277" s="59"/>
    </row>
    <row r="278">
      <c r="P278" s="59"/>
      <c r="AB278" s="59"/>
      <c r="AD278" s="59"/>
      <c r="AI278" s="59"/>
      <c r="AJ278" s="91"/>
      <c r="AK278" s="59"/>
      <c r="AO278" s="59"/>
    </row>
    <row r="279">
      <c r="P279" s="59"/>
      <c r="AB279" s="59"/>
      <c r="AD279" s="59"/>
      <c r="AI279" s="59"/>
      <c r="AJ279" s="91"/>
      <c r="AK279" s="59"/>
      <c r="AO279" s="59"/>
    </row>
    <row r="280">
      <c r="P280" s="59"/>
      <c r="AB280" s="59"/>
      <c r="AD280" s="59"/>
      <c r="AI280" s="59"/>
      <c r="AJ280" s="91"/>
      <c r="AK280" s="59"/>
      <c r="AO280" s="59"/>
    </row>
    <row r="281">
      <c r="P281" s="59"/>
      <c r="AB281" s="59"/>
      <c r="AD281" s="59"/>
      <c r="AI281" s="59"/>
      <c r="AJ281" s="91"/>
      <c r="AK281" s="59"/>
      <c r="AO281" s="59"/>
    </row>
    <row r="282">
      <c r="P282" s="59"/>
      <c r="AB282" s="59"/>
      <c r="AD282" s="59"/>
      <c r="AI282" s="59"/>
      <c r="AJ282" s="91"/>
      <c r="AK282" s="59"/>
      <c r="AO282" s="59"/>
    </row>
    <row r="283">
      <c r="P283" s="59"/>
      <c r="AB283" s="59"/>
      <c r="AD283" s="59"/>
      <c r="AI283" s="59"/>
      <c r="AJ283" s="91"/>
      <c r="AK283" s="59"/>
      <c r="AO283" s="59"/>
    </row>
    <row r="284">
      <c r="P284" s="59"/>
      <c r="AB284" s="59"/>
      <c r="AD284" s="59"/>
      <c r="AI284" s="59"/>
      <c r="AJ284" s="91"/>
      <c r="AK284" s="59"/>
      <c r="AO284" s="59"/>
    </row>
    <row r="285">
      <c r="P285" s="59"/>
      <c r="AB285" s="59"/>
      <c r="AD285" s="59"/>
      <c r="AI285" s="59"/>
      <c r="AJ285" s="91"/>
      <c r="AK285" s="59"/>
      <c r="AO285" s="59"/>
    </row>
    <row r="286">
      <c r="P286" s="59"/>
      <c r="AB286" s="59"/>
      <c r="AD286" s="59"/>
      <c r="AI286" s="59"/>
      <c r="AJ286" s="91"/>
      <c r="AK286" s="59"/>
      <c r="AO286" s="59"/>
    </row>
    <row r="287">
      <c r="P287" s="59"/>
      <c r="AB287" s="59"/>
      <c r="AD287" s="59"/>
      <c r="AI287" s="59"/>
      <c r="AJ287" s="91"/>
      <c r="AK287" s="59"/>
      <c r="AO287" s="59"/>
    </row>
    <row r="288">
      <c r="P288" s="59"/>
      <c r="AB288" s="59"/>
      <c r="AD288" s="59"/>
      <c r="AI288" s="59"/>
      <c r="AJ288" s="91"/>
      <c r="AK288" s="59"/>
      <c r="AO288" s="59"/>
    </row>
    <row r="289">
      <c r="P289" s="59"/>
      <c r="AB289" s="59"/>
      <c r="AD289" s="59"/>
      <c r="AI289" s="59"/>
      <c r="AJ289" s="91"/>
      <c r="AK289" s="59"/>
      <c r="AO289" s="59"/>
    </row>
    <row r="290">
      <c r="P290" s="59"/>
      <c r="AB290" s="59"/>
      <c r="AD290" s="59"/>
      <c r="AI290" s="59"/>
      <c r="AJ290" s="91"/>
      <c r="AK290" s="59"/>
      <c r="AO290" s="59"/>
    </row>
    <row r="291">
      <c r="P291" s="59"/>
      <c r="AB291" s="59"/>
      <c r="AD291" s="59"/>
      <c r="AI291" s="59"/>
      <c r="AJ291" s="91"/>
      <c r="AK291" s="59"/>
      <c r="AO291" s="59"/>
    </row>
    <row r="292">
      <c r="P292" s="59"/>
      <c r="AB292" s="59"/>
      <c r="AD292" s="59"/>
      <c r="AI292" s="59"/>
      <c r="AJ292" s="91"/>
      <c r="AK292" s="59"/>
      <c r="AO292" s="59"/>
    </row>
    <row r="293">
      <c r="P293" s="59"/>
      <c r="AB293" s="59"/>
      <c r="AD293" s="59"/>
      <c r="AI293" s="59"/>
      <c r="AJ293" s="91"/>
      <c r="AK293" s="59"/>
      <c r="AO293" s="59"/>
    </row>
    <row r="294">
      <c r="P294" s="59"/>
      <c r="AB294" s="59"/>
      <c r="AD294" s="59"/>
      <c r="AI294" s="59"/>
      <c r="AJ294" s="91"/>
      <c r="AK294" s="59"/>
      <c r="AO294" s="59"/>
    </row>
    <row r="295">
      <c r="P295" s="59"/>
      <c r="AB295" s="59"/>
      <c r="AD295" s="59"/>
      <c r="AI295" s="59"/>
      <c r="AJ295" s="91"/>
      <c r="AK295" s="59"/>
      <c r="AO295" s="59"/>
    </row>
    <row r="296">
      <c r="P296" s="59"/>
      <c r="AB296" s="59"/>
      <c r="AD296" s="59"/>
      <c r="AI296" s="59"/>
      <c r="AJ296" s="91"/>
      <c r="AK296" s="59"/>
      <c r="AO296" s="59"/>
    </row>
    <row r="297">
      <c r="P297" s="59"/>
      <c r="AB297" s="59"/>
      <c r="AD297" s="59"/>
      <c r="AI297" s="59"/>
      <c r="AJ297" s="91"/>
      <c r="AK297" s="59"/>
      <c r="AO297" s="59"/>
    </row>
    <row r="298">
      <c r="P298" s="59"/>
      <c r="AB298" s="59"/>
      <c r="AD298" s="59"/>
      <c r="AI298" s="59"/>
      <c r="AJ298" s="91"/>
      <c r="AK298" s="59"/>
      <c r="AO298" s="59"/>
    </row>
    <row r="299">
      <c r="P299" s="59"/>
      <c r="AB299" s="59"/>
      <c r="AD299" s="59"/>
      <c r="AI299" s="59"/>
      <c r="AJ299" s="91"/>
      <c r="AK299" s="59"/>
      <c r="AO299" s="59"/>
    </row>
    <row r="300">
      <c r="P300" s="59"/>
      <c r="AB300" s="59"/>
      <c r="AD300" s="59"/>
      <c r="AI300" s="59"/>
      <c r="AJ300" s="91"/>
      <c r="AK300" s="59"/>
      <c r="AO300" s="59"/>
    </row>
    <row r="301">
      <c r="P301" s="59"/>
      <c r="AB301" s="59"/>
      <c r="AD301" s="59"/>
      <c r="AI301" s="59"/>
      <c r="AJ301" s="91"/>
      <c r="AK301" s="59"/>
      <c r="AO301" s="59"/>
    </row>
    <row r="302">
      <c r="P302" s="59"/>
      <c r="AB302" s="59"/>
      <c r="AD302" s="59"/>
      <c r="AI302" s="59"/>
      <c r="AJ302" s="91"/>
      <c r="AK302" s="59"/>
      <c r="AO302" s="59"/>
    </row>
    <row r="303">
      <c r="P303" s="59"/>
      <c r="AB303" s="59"/>
      <c r="AD303" s="59"/>
      <c r="AI303" s="59"/>
      <c r="AJ303" s="91"/>
      <c r="AK303" s="59"/>
      <c r="AO303" s="59"/>
    </row>
    <row r="304">
      <c r="P304" s="59"/>
      <c r="AB304" s="59"/>
      <c r="AD304" s="59"/>
      <c r="AI304" s="59"/>
      <c r="AJ304" s="91"/>
      <c r="AK304" s="59"/>
      <c r="AO304" s="59"/>
    </row>
    <row r="305">
      <c r="P305" s="59"/>
      <c r="AB305" s="59"/>
      <c r="AD305" s="59"/>
      <c r="AI305" s="59"/>
      <c r="AJ305" s="91"/>
      <c r="AK305" s="59"/>
      <c r="AO305" s="59"/>
    </row>
    <row r="306">
      <c r="P306" s="59"/>
      <c r="AB306" s="59"/>
      <c r="AD306" s="59"/>
      <c r="AI306" s="59"/>
      <c r="AJ306" s="91"/>
      <c r="AK306" s="59"/>
      <c r="AO306" s="59"/>
    </row>
    <row r="307">
      <c r="P307" s="59"/>
      <c r="AB307" s="59"/>
      <c r="AD307" s="59"/>
      <c r="AI307" s="59"/>
      <c r="AJ307" s="91"/>
      <c r="AK307" s="59"/>
      <c r="AO307" s="59"/>
    </row>
    <row r="308">
      <c r="P308" s="59"/>
      <c r="AB308" s="59"/>
      <c r="AD308" s="59"/>
      <c r="AI308" s="59"/>
      <c r="AJ308" s="91"/>
      <c r="AK308" s="59"/>
      <c r="AO308" s="59"/>
    </row>
    <row r="309">
      <c r="P309" s="59"/>
      <c r="AB309" s="59"/>
      <c r="AD309" s="59"/>
      <c r="AI309" s="59"/>
      <c r="AJ309" s="91"/>
      <c r="AK309" s="59"/>
      <c r="AO309" s="59"/>
    </row>
    <row r="310">
      <c r="P310" s="59"/>
      <c r="AB310" s="59"/>
      <c r="AD310" s="59"/>
      <c r="AI310" s="59"/>
      <c r="AJ310" s="91"/>
      <c r="AK310" s="59"/>
      <c r="AO310" s="59"/>
    </row>
    <row r="311">
      <c r="P311" s="59"/>
      <c r="AB311" s="59"/>
      <c r="AD311" s="59"/>
      <c r="AI311" s="59"/>
      <c r="AJ311" s="91"/>
      <c r="AK311" s="59"/>
      <c r="AO311" s="59"/>
    </row>
    <row r="312">
      <c r="P312" s="59"/>
      <c r="AB312" s="59"/>
      <c r="AD312" s="59"/>
      <c r="AI312" s="59"/>
      <c r="AJ312" s="91"/>
      <c r="AK312" s="59"/>
      <c r="AO312" s="59"/>
    </row>
    <row r="313">
      <c r="P313" s="59"/>
      <c r="AB313" s="59"/>
      <c r="AD313" s="59"/>
      <c r="AI313" s="59"/>
      <c r="AJ313" s="91"/>
      <c r="AK313" s="59"/>
      <c r="AO313" s="59"/>
    </row>
    <row r="314">
      <c r="P314" s="59"/>
      <c r="AB314" s="59"/>
      <c r="AD314" s="59"/>
      <c r="AI314" s="59"/>
      <c r="AJ314" s="91"/>
      <c r="AK314" s="59"/>
      <c r="AO314" s="59"/>
    </row>
    <row r="315">
      <c r="P315" s="59"/>
      <c r="AB315" s="59"/>
      <c r="AD315" s="59"/>
      <c r="AI315" s="59"/>
      <c r="AJ315" s="91"/>
      <c r="AK315" s="59"/>
      <c r="AO315" s="59"/>
    </row>
    <row r="316">
      <c r="P316" s="59"/>
      <c r="AB316" s="59"/>
      <c r="AD316" s="59"/>
      <c r="AI316" s="59"/>
      <c r="AJ316" s="91"/>
      <c r="AK316" s="59"/>
      <c r="AO316" s="59"/>
    </row>
    <row r="317">
      <c r="P317" s="59"/>
      <c r="AB317" s="59"/>
      <c r="AD317" s="59"/>
      <c r="AI317" s="59"/>
      <c r="AJ317" s="91"/>
      <c r="AK317" s="59"/>
      <c r="AO317" s="59"/>
    </row>
    <row r="318">
      <c r="P318" s="59"/>
      <c r="AB318" s="59"/>
      <c r="AD318" s="59"/>
      <c r="AI318" s="59"/>
      <c r="AJ318" s="91"/>
      <c r="AK318" s="59"/>
      <c r="AO318" s="59"/>
    </row>
    <row r="319">
      <c r="P319" s="59"/>
      <c r="AB319" s="59"/>
      <c r="AD319" s="59"/>
      <c r="AI319" s="59"/>
      <c r="AJ319" s="91"/>
      <c r="AK319" s="59"/>
      <c r="AO319" s="59"/>
    </row>
    <row r="320">
      <c r="P320" s="59"/>
      <c r="AB320" s="59"/>
      <c r="AD320" s="59"/>
      <c r="AI320" s="59"/>
      <c r="AJ320" s="91"/>
      <c r="AK320" s="59"/>
      <c r="AO320" s="59"/>
    </row>
    <row r="321">
      <c r="P321" s="59"/>
      <c r="AB321" s="59"/>
      <c r="AD321" s="59"/>
      <c r="AI321" s="59"/>
      <c r="AJ321" s="91"/>
      <c r="AK321" s="59"/>
      <c r="AO321" s="59"/>
    </row>
    <row r="322">
      <c r="P322" s="59"/>
      <c r="AB322" s="59"/>
      <c r="AD322" s="59"/>
      <c r="AI322" s="59"/>
      <c r="AJ322" s="91"/>
      <c r="AK322" s="59"/>
      <c r="AO322" s="59"/>
    </row>
    <row r="323">
      <c r="P323" s="59"/>
      <c r="AB323" s="59"/>
      <c r="AD323" s="59"/>
      <c r="AI323" s="59"/>
      <c r="AJ323" s="91"/>
      <c r="AK323" s="59"/>
      <c r="AO323" s="59"/>
    </row>
    <row r="324">
      <c r="P324" s="59"/>
      <c r="AB324" s="59"/>
      <c r="AD324" s="59"/>
      <c r="AI324" s="59"/>
      <c r="AJ324" s="91"/>
      <c r="AK324" s="59"/>
      <c r="AO324" s="59"/>
    </row>
    <row r="325">
      <c r="P325" s="59"/>
      <c r="AB325" s="59"/>
      <c r="AD325" s="59"/>
      <c r="AI325" s="59"/>
      <c r="AJ325" s="91"/>
      <c r="AK325" s="59"/>
      <c r="AO325" s="59"/>
    </row>
    <row r="326">
      <c r="P326" s="59"/>
      <c r="AB326" s="59"/>
      <c r="AD326" s="59"/>
      <c r="AI326" s="59"/>
      <c r="AJ326" s="91"/>
      <c r="AK326" s="59"/>
      <c r="AO326" s="59"/>
    </row>
    <row r="327">
      <c r="P327" s="59"/>
      <c r="AB327" s="59"/>
      <c r="AD327" s="59"/>
      <c r="AI327" s="59"/>
      <c r="AJ327" s="91"/>
      <c r="AK327" s="59"/>
      <c r="AO327" s="59"/>
    </row>
    <row r="328">
      <c r="P328" s="59"/>
      <c r="AB328" s="59"/>
      <c r="AD328" s="59"/>
      <c r="AI328" s="59"/>
      <c r="AJ328" s="91"/>
      <c r="AK328" s="59"/>
      <c r="AO328" s="59"/>
    </row>
    <row r="329">
      <c r="P329" s="59"/>
      <c r="AB329" s="59"/>
      <c r="AD329" s="59"/>
      <c r="AI329" s="59"/>
      <c r="AJ329" s="91"/>
      <c r="AK329" s="59"/>
      <c r="AO329" s="59"/>
    </row>
    <row r="330">
      <c r="P330" s="59"/>
      <c r="AB330" s="59"/>
      <c r="AD330" s="59"/>
      <c r="AI330" s="59"/>
      <c r="AJ330" s="91"/>
      <c r="AK330" s="59"/>
      <c r="AO330" s="59"/>
    </row>
    <row r="331">
      <c r="P331" s="59"/>
      <c r="AB331" s="59"/>
      <c r="AD331" s="59"/>
      <c r="AI331" s="59"/>
      <c r="AJ331" s="91"/>
      <c r="AK331" s="59"/>
      <c r="AO331" s="59"/>
    </row>
    <row r="332">
      <c r="P332" s="59"/>
      <c r="AB332" s="59"/>
      <c r="AD332" s="59"/>
      <c r="AI332" s="59"/>
      <c r="AJ332" s="91"/>
      <c r="AK332" s="59"/>
      <c r="AO332" s="59"/>
    </row>
    <row r="333">
      <c r="P333" s="59"/>
      <c r="AB333" s="59"/>
      <c r="AD333" s="59"/>
      <c r="AI333" s="59"/>
      <c r="AJ333" s="91"/>
      <c r="AK333" s="59"/>
      <c r="AO333" s="59"/>
    </row>
    <row r="334">
      <c r="P334" s="59"/>
      <c r="AB334" s="59"/>
      <c r="AD334" s="59"/>
      <c r="AI334" s="59"/>
      <c r="AJ334" s="91"/>
      <c r="AK334" s="59"/>
      <c r="AO334" s="59"/>
    </row>
    <row r="335">
      <c r="P335" s="59"/>
      <c r="AB335" s="59"/>
      <c r="AD335" s="59"/>
      <c r="AI335" s="59"/>
      <c r="AJ335" s="91"/>
      <c r="AK335" s="59"/>
      <c r="AO335" s="59"/>
    </row>
    <row r="336">
      <c r="P336" s="59"/>
      <c r="AB336" s="59"/>
      <c r="AD336" s="59"/>
      <c r="AI336" s="59"/>
      <c r="AJ336" s="91"/>
      <c r="AK336" s="59"/>
      <c r="AO336" s="59"/>
    </row>
    <row r="337">
      <c r="P337" s="59"/>
      <c r="AB337" s="59"/>
      <c r="AD337" s="59"/>
      <c r="AI337" s="59"/>
      <c r="AJ337" s="91"/>
      <c r="AK337" s="59"/>
      <c r="AO337" s="59"/>
    </row>
    <row r="338">
      <c r="P338" s="59"/>
      <c r="AB338" s="59"/>
      <c r="AD338" s="59"/>
      <c r="AI338" s="59"/>
      <c r="AJ338" s="91"/>
      <c r="AK338" s="59"/>
      <c r="AO338" s="59"/>
    </row>
    <row r="339">
      <c r="P339" s="59"/>
      <c r="AB339" s="59"/>
      <c r="AD339" s="59"/>
      <c r="AI339" s="59"/>
      <c r="AJ339" s="91"/>
      <c r="AK339" s="59"/>
      <c r="AO339" s="59"/>
    </row>
    <row r="340">
      <c r="P340" s="59"/>
      <c r="AB340" s="59"/>
      <c r="AD340" s="59"/>
      <c r="AI340" s="59"/>
      <c r="AJ340" s="91"/>
      <c r="AK340" s="59"/>
      <c r="AO340" s="59"/>
    </row>
    <row r="341">
      <c r="P341" s="59"/>
      <c r="AB341" s="59"/>
      <c r="AD341" s="59"/>
      <c r="AI341" s="59"/>
      <c r="AJ341" s="91"/>
      <c r="AK341" s="59"/>
      <c r="AO341" s="59"/>
    </row>
    <row r="342">
      <c r="P342" s="59"/>
      <c r="AB342" s="59"/>
      <c r="AD342" s="59"/>
      <c r="AI342" s="59"/>
      <c r="AJ342" s="91"/>
      <c r="AK342" s="59"/>
      <c r="AO342" s="59"/>
    </row>
    <row r="343">
      <c r="P343" s="59"/>
      <c r="AB343" s="59"/>
      <c r="AD343" s="59"/>
      <c r="AI343" s="59"/>
      <c r="AJ343" s="91"/>
      <c r="AK343" s="59"/>
      <c r="AO343" s="59"/>
    </row>
    <row r="344">
      <c r="P344" s="59"/>
      <c r="AB344" s="59"/>
      <c r="AD344" s="59"/>
      <c r="AI344" s="59"/>
      <c r="AJ344" s="91"/>
      <c r="AK344" s="59"/>
      <c r="AO344" s="59"/>
    </row>
    <row r="345">
      <c r="P345" s="59"/>
      <c r="AB345" s="59"/>
      <c r="AD345" s="59"/>
      <c r="AI345" s="59"/>
      <c r="AJ345" s="91"/>
      <c r="AK345" s="59"/>
      <c r="AO345" s="59"/>
    </row>
    <row r="346">
      <c r="P346" s="59"/>
      <c r="AB346" s="59"/>
      <c r="AD346" s="59"/>
      <c r="AI346" s="59"/>
      <c r="AJ346" s="91"/>
      <c r="AK346" s="59"/>
      <c r="AO346" s="59"/>
    </row>
    <row r="347">
      <c r="P347" s="59"/>
      <c r="AB347" s="59"/>
      <c r="AD347" s="59"/>
      <c r="AI347" s="59"/>
      <c r="AJ347" s="91"/>
      <c r="AK347" s="59"/>
      <c r="AO347" s="59"/>
    </row>
    <row r="348">
      <c r="P348" s="59"/>
      <c r="AB348" s="59"/>
      <c r="AD348" s="59"/>
      <c r="AI348" s="59"/>
      <c r="AJ348" s="91"/>
      <c r="AK348" s="59"/>
      <c r="AO348" s="59"/>
    </row>
    <row r="349">
      <c r="P349" s="59"/>
      <c r="AB349" s="59"/>
      <c r="AD349" s="59"/>
      <c r="AI349" s="59"/>
      <c r="AJ349" s="91"/>
      <c r="AK349" s="59"/>
      <c r="AO349" s="59"/>
    </row>
    <row r="350">
      <c r="P350" s="59"/>
      <c r="AB350" s="59"/>
      <c r="AD350" s="59"/>
      <c r="AI350" s="59"/>
      <c r="AJ350" s="91"/>
      <c r="AK350" s="59"/>
      <c r="AO350" s="59"/>
    </row>
    <row r="351">
      <c r="P351" s="59"/>
      <c r="AB351" s="59"/>
      <c r="AD351" s="59"/>
      <c r="AI351" s="59"/>
      <c r="AJ351" s="91"/>
      <c r="AK351" s="59"/>
      <c r="AO351" s="59"/>
    </row>
    <row r="352">
      <c r="P352" s="59"/>
      <c r="AB352" s="59"/>
      <c r="AD352" s="59"/>
      <c r="AI352" s="59"/>
      <c r="AJ352" s="91"/>
      <c r="AK352" s="59"/>
      <c r="AO352" s="59"/>
    </row>
    <row r="353">
      <c r="P353" s="59"/>
      <c r="AB353" s="59"/>
      <c r="AD353" s="59"/>
      <c r="AI353" s="59"/>
      <c r="AJ353" s="91"/>
      <c r="AK353" s="59"/>
      <c r="AO353" s="59"/>
    </row>
    <row r="354">
      <c r="P354" s="59"/>
      <c r="AB354" s="59"/>
      <c r="AD354" s="59"/>
      <c r="AI354" s="59"/>
      <c r="AJ354" s="91"/>
      <c r="AK354" s="59"/>
      <c r="AO354" s="59"/>
    </row>
    <row r="355">
      <c r="P355" s="59"/>
      <c r="AB355" s="59"/>
      <c r="AD355" s="59"/>
      <c r="AI355" s="59"/>
      <c r="AJ355" s="91"/>
      <c r="AK355" s="59"/>
      <c r="AO355" s="59"/>
    </row>
    <row r="356">
      <c r="P356" s="59"/>
      <c r="AB356" s="59"/>
      <c r="AD356" s="59"/>
      <c r="AI356" s="59"/>
      <c r="AJ356" s="91"/>
      <c r="AK356" s="59"/>
      <c r="AO356" s="59"/>
    </row>
    <row r="357">
      <c r="P357" s="59"/>
      <c r="AB357" s="59"/>
      <c r="AD357" s="59"/>
      <c r="AI357" s="59"/>
      <c r="AJ357" s="91"/>
      <c r="AK357" s="59"/>
      <c r="AO357" s="59"/>
    </row>
    <row r="358">
      <c r="P358" s="59"/>
      <c r="AB358" s="59"/>
      <c r="AD358" s="59"/>
      <c r="AI358" s="59"/>
      <c r="AJ358" s="91"/>
      <c r="AK358" s="59"/>
      <c r="AO358" s="59"/>
    </row>
    <row r="359">
      <c r="P359" s="59"/>
      <c r="AB359" s="59"/>
      <c r="AD359" s="59"/>
      <c r="AI359" s="59"/>
      <c r="AJ359" s="91"/>
      <c r="AK359" s="59"/>
      <c r="AO359" s="59"/>
    </row>
    <row r="360">
      <c r="P360" s="59"/>
      <c r="AB360" s="59"/>
      <c r="AD360" s="59"/>
      <c r="AI360" s="59"/>
      <c r="AJ360" s="91"/>
      <c r="AK360" s="59"/>
      <c r="AO360" s="59"/>
    </row>
    <row r="361">
      <c r="P361" s="59"/>
      <c r="AB361" s="59"/>
      <c r="AD361" s="59"/>
      <c r="AI361" s="59"/>
      <c r="AJ361" s="91"/>
      <c r="AK361" s="59"/>
      <c r="AO361" s="59"/>
    </row>
    <row r="362">
      <c r="P362" s="59"/>
      <c r="AB362" s="59"/>
      <c r="AD362" s="59"/>
      <c r="AI362" s="59"/>
      <c r="AJ362" s="91"/>
      <c r="AK362" s="59"/>
      <c r="AO362" s="59"/>
    </row>
    <row r="363">
      <c r="P363" s="59"/>
      <c r="AB363" s="59"/>
      <c r="AD363" s="59"/>
      <c r="AI363" s="59"/>
      <c r="AJ363" s="91"/>
      <c r="AK363" s="59"/>
      <c r="AO363" s="59"/>
    </row>
    <row r="364">
      <c r="P364" s="59"/>
      <c r="AB364" s="59"/>
      <c r="AD364" s="59"/>
      <c r="AI364" s="59"/>
      <c r="AJ364" s="91"/>
      <c r="AK364" s="59"/>
      <c r="AO364" s="59"/>
    </row>
    <row r="365">
      <c r="P365" s="59"/>
      <c r="AB365" s="59"/>
      <c r="AD365" s="59"/>
      <c r="AI365" s="59"/>
      <c r="AJ365" s="91"/>
      <c r="AK365" s="59"/>
      <c r="AO365" s="59"/>
    </row>
    <row r="366">
      <c r="P366" s="59"/>
      <c r="AB366" s="59"/>
      <c r="AD366" s="59"/>
      <c r="AI366" s="59"/>
      <c r="AJ366" s="91"/>
      <c r="AK366" s="59"/>
      <c r="AO366" s="59"/>
    </row>
    <row r="367">
      <c r="P367" s="59"/>
      <c r="AB367" s="59"/>
      <c r="AD367" s="59"/>
      <c r="AI367" s="59"/>
      <c r="AJ367" s="91"/>
      <c r="AK367" s="59"/>
      <c r="AO367" s="59"/>
    </row>
    <row r="368">
      <c r="P368" s="59"/>
      <c r="AB368" s="59"/>
      <c r="AD368" s="59"/>
      <c r="AI368" s="59"/>
      <c r="AJ368" s="91"/>
      <c r="AK368" s="59"/>
      <c r="AO368" s="59"/>
    </row>
    <row r="369">
      <c r="P369" s="59"/>
      <c r="AB369" s="59"/>
      <c r="AD369" s="59"/>
      <c r="AI369" s="59"/>
      <c r="AJ369" s="91"/>
      <c r="AK369" s="59"/>
      <c r="AO369" s="59"/>
    </row>
    <row r="370">
      <c r="P370" s="59"/>
      <c r="AB370" s="59"/>
      <c r="AD370" s="59"/>
      <c r="AI370" s="59"/>
      <c r="AJ370" s="91"/>
      <c r="AK370" s="59"/>
      <c r="AO370" s="59"/>
    </row>
    <row r="371">
      <c r="P371" s="59"/>
      <c r="AB371" s="59"/>
      <c r="AD371" s="59"/>
      <c r="AI371" s="59"/>
      <c r="AJ371" s="91"/>
      <c r="AK371" s="59"/>
      <c r="AO371" s="59"/>
    </row>
    <row r="372">
      <c r="P372" s="59"/>
      <c r="AB372" s="59"/>
      <c r="AD372" s="59"/>
      <c r="AI372" s="59"/>
      <c r="AJ372" s="91"/>
      <c r="AK372" s="59"/>
      <c r="AO372" s="59"/>
    </row>
    <row r="373">
      <c r="P373" s="59"/>
      <c r="AB373" s="59"/>
      <c r="AD373" s="59"/>
      <c r="AI373" s="59"/>
      <c r="AJ373" s="91"/>
      <c r="AK373" s="59"/>
      <c r="AO373" s="59"/>
    </row>
    <row r="374">
      <c r="P374" s="59"/>
      <c r="AB374" s="59"/>
      <c r="AD374" s="59"/>
      <c r="AI374" s="59"/>
      <c r="AJ374" s="91"/>
      <c r="AK374" s="59"/>
      <c r="AO374" s="59"/>
    </row>
    <row r="375">
      <c r="P375" s="59"/>
      <c r="AB375" s="59"/>
      <c r="AD375" s="59"/>
      <c r="AI375" s="59"/>
      <c r="AJ375" s="91"/>
      <c r="AK375" s="59"/>
      <c r="AO375" s="59"/>
    </row>
    <row r="376">
      <c r="P376" s="59"/>
      <c r="AB376" s="59"/>
      <c r="AD376" s="59"/>
      <c r="AI376" s="59"/>
      <c r="AJ376" s="91"/>
      <c r="AK376" s="59"/>
      <c r="AO376" s="59"/>
    </row>
    <row r="377">
      <c r="P377" s="59"/>
      <c r="AB377" s="59"/>
      <c r="AD377" s="59"/>
      <c r="AI377" s="59"/>
      <c r="AJ377" s="91"/>
      <c r="AK377" s="59"/>
      <c r="AO377" s="59"/>
    </row>
    <row r="378">
      <c r="P378" s="59"/>
      <c r="AB378" s="59"/>
      <c r="AD378" s="59"/>
      <c r="AI378" s="59"/>
      <c r="AJ378" s="91"/>
      <c r="AK378" s="59"/>
      <c r="AO378" s="59"/>
    </row>
    <row r="379">
      <c r="P379" s="59"/>
      <c r="AB379" s="59"/>
      <c r="AD379" s="59"/>
      <c r="AI379" s="59"/>
      <c r="AJ379" s="91"/>
      <c r="AK379" s="59"/>
      <c r="AO379" s="59"/>
    </row>
    <row r="380">
      <c r="P380" s="59"/>
      <c r="AB380" s="59"/>
      <c r="AD380" s="59"/>
      <c r="AI380" s="59"/>
      <c r="AJ380" s="91"/>
      <c r="AK380" s="59"/>
      <c r="AO380" s="59"/>
    </row>
    <row r="381">
      <c r="P381" s="59"/>
      <c r="AB381" s="59"/>
      <c r="AD381" s="59"/>
      <c r="AI381" s="59"/>
      <c r="AJ381" s="91"/>
      <c r="AK381" s="59"/>
      <c r="AO381" s="59"/>
    </row>
    <row r="382">
      <c r="P382" s="59"/>
      <c r="AB382" s="59"/>
      <c r="AD382" s="59"/>
      <c r="AI382" s="59"/>
      <c r="AJ382" s="91"/>
      <c r="AK382" s="59"/>
      <c r="AO382" s="59"/>
    </row>
    <row r="383">
      <c r="P383" s="59"/>
      <c r="AB383" s="59"/>
      <c r="AD383" s="59"/>
      <c r="AI383" s="59"/>
      <c r="AJ383" s="91"/>
      <c r="AK383" s="59"/>
      <c r="AO383" s="59"/>
    </row>
    <row r="384">
      <c r="P384" s="59"/>
      <c r="AB384" s="59"/>
      <c r="AD384" s="59"/>
      <c r="AI384" s="59"/>
      <c r="AJ384" s="91"/>
      <c r="AK384" s="59"/>
      <c r="AO384" s="59"/>
    </row>
    <row r="385">
      <c r="P385" s="59"/>
      <c r="AB385" s="59"/>
      <c r="AD385" s="59"/>
      <c r="AI385" s="59"/>
      <c r="AJ385" s="91"/>
      <c r="AK385" s="59"/>
      <c r="AO385" s="59"/>
    </row>
    <row r="386">
      <c r="P386" s="59"/>
      <c r="AB386" s="59"/>
      <c r="AD386" s="59"/>
      <c r="AI386" s="59"/>
      <c r="AJ386" s="91"/>
      <c r="AK386" s="59"/>
      <c r="AO386" s="59"/>
    </row>
    <row r="387">
      <c r="P387" s="59"/>
      <c r="AB387" s="59"/>
      <c r="AD387" s="59"/>
      <c r="AI387" s="59"/>
      <c r="AJ387" s="91"/>
      <c r="AK387" s="59"/>
      <c r="AO387" s="59"/>
    </row>
    <row r="388">
      <c r="P388" s="59"/>
      <c r="AB388" s="59"/>
      <c r="AD388" s="59"/>
      <c r="AI388" s="59"/>
      <c r="AJ388" s="91"/>
      <c r="AK388" s="59"/>
      <c r="AO388" s="59"/>
    </row>
    <row r="389">
      <c r="P389" s="59"/>
      <c r="AB389" s="59"/>
      <c r="AD389" s="59"/>
      <c r="AI389" s="59"/>
      <c r="AJ389" s="91"/>
      <c r="AK389" s="59"/>
      <c r="AO389" s="59"/>
    </row>
    <row r="390">
      <c r="P390" s="59"/>
      <c r="AB390" s="59"/>
      <c r="AD390" s="59"/>
      <c r="AI390" s="59"/>
      <c r="AJ390" s="91"/>
      <c r="AK390" s="59"/>
      <c r="AO390" s="59"/>
    </row>
    <row r="391">
      <c r="P391" s="59"/>
      <c r="AB391" s="59"/>
      <c r="AD391" s="59"/>
      <c r="AI391" s="59"/>
      <c r="AJ391" s="91"/>
      <c r="AK391" s="59"/>
      <c r="AO391" s="59"/>
    </row>
    <row r="392">
      <c r="P392" s="59"/>
      <c r="AB392" s="59"/>
      <c r="AD392" s="59"/>
      <c r="AI392" s="59"/>
      <c r="AJ392" s="91"/>
      <c r="AK392" s="59"/>
      <c r="AO392" s="59"/>
    </row>
    <row r="393">
      <c r="P393" s="59"/>
      <c r="AB393" s="59"/>
      <c r="AD393" s="59"/>
      <c r="AI393" s="59"/>
      <c r="AJ393" s="91"/>
      <c r="AK393" s="59"/>
      <c r="AO393" s="59"/>
    </row>
    <row r="394">
      <c r="P394" s="59"/>
      <c r="AB394" s="59"/>
      <c r="AD394" s="59"/>
      <c r="AI394" s="59"/>
      <c r="AJ394" s="91"/>
      <c r="AK394" s="59"/>
      <c r="AO394" s="59"/>
    </row>
    <row r="395">
      <c r="P395" s="59"/>
      <c r="AB395" s="59"/>
      <c r="AD395" s="59"/>
      <c r="AI395" s="59"/>
      <c r="AJ395" s="91"/>
      <c r="AK395" s="59"/>
      <c r="AO395" s="59"/>
    </row>
    <row r="396">
      <c r="P396" s="59"/>
      <c r="AB396" s="59"/>
      <c r="AD396" s="59"/>
      <c r="AI396" s="59"/>
      <c r="AJ396" s="91"/>
      <c r="AK396" s="59"/>
      <c r="AO396" s="59"/>
    </row>
    <row r="397">
      <c r="P397" s="59"/>
      <c r="AB397" s="59"/>
      <c r="AD397" s="59"/>
      <c r="AI397" s="59"/>
      <c r="AJ397" s="91"/>
      <c r="AK397" s="59"/>
      <c r="AO397" s="59"/>
    </row>
    <row r="398">
      <c r="P398" s="59"/>
      <c r="AB398" s="59"/>
      <c r="AD398" s="59"/>
      <c r="AI398" s="59"/>
      <c r="AJ398" s="91"/>
      <c r="AK398" s="59"/>
      <c r="AO398" s="59"/>
    </row>
    <row r="399">
      <c r="P399" s="59"/>
      <c r="AB399" s="59"/>
      <c r="AD399" s="59"/>
      <c r="AI399" s="59"/>
      <c r="AJ399" s="91"/>
      <c r="AK399" s="59"/>
      <c r="AO399" s="59"/>
    </row>
    <row r="400">
      <c r="P400" s="59"/>
      <c r="AB400" s="59"/>
      <c r="AD400" s="59"/>
      <c r="AI400" s="59"/>
      <c r="AJ400" s="91"/>
      <c r="AK400" s="59"/>
      <c r="AO400" s="59"/>
    </row>
    <row r="401">
      <c r="P401" s="59"/>
      <c r="AB401" s="59"/>
      <c r="AD401" s="59"/>
      <c r="AI401" s="59"/>
      <c r="AJ401" s="91"/>
      <c r="AK401" s="59"/>
      <c r="AO401" s="59"/>
    </row>
    <row r="402">
      <c r="P402" s="59"/>
      <c r="AB402" s="59"/>
      <c r="AD402" s="59"/>
      <c r="AI402" s="59"/>
      <c r="AJ402" s="91"/>
      <c r="AK402" s="59"/>
      <c r="AO402" s="59"/>
    </row>
    <row r="403">
      <c r="P403" s="59"/>
      <c r="AB403" s="59"/>
      <c r="AD403" s="59"/>
      <c r="AI403" s="59"/>
      <c r="AJ403" s="91"/>
      <c r="AK403" s="59"/>
      <c r="AO403" s="59"/>
    </row>
    <row r="404">
      <c r="P404" s="59"/>
      <c r="AB404" s="59"/>
      <c r="AD404" s="59"/>
      <c r="AI404" s="59"/>
      <c r="AJ404" s="91"/>
      <c r="AK404" s="59"/>
      <c r="AO404" s="59"/>
    </row>
    <row r="405">
      <c r="P405" s="59"/>
      <c r="AB405" s="59"/>
      <c r="AD405" s="59"/>
      <c r="AI405" s="59"/>
      <c r="AJ405" s="91"/>
      <c r="AK405" s="59"/>
      <c r="AO405" s="59"/>
    </row>
    <row r="406">
      <c r="P406" s="59"/>
      <c r="AB406" s="59"/>
      <c r="AD406" s="59"/>
      <c r="AI406" s="59"/>
      <c r="AJ406" s="91"/>
      <c r="AK406" s="59"/>
      <c r="AO406" s="59"/>
    </row>
    <row r="407">
      <c r="P407" s="59"/>
      <c r="AB407" s="59"/>
      <c r="AD407" s="59"/>
      <c r="AI407" s="59"/>
      <c r="AJ407" s="91"/>
      <c r="AK407" s="59"/>
      <c r="AO407" s="59"/>
    </row>
    <row r="408">
      <c r="P408" s="59"/>
      <c r="AB408" s="59"/>
      <c r="AD408" s="59"/>
      <c r="AI408" s="59"/>
      <c r="AJ408" s="91"/>
      <c r="AK408" s="59"/>
      <c r="AO408" s="59"/>
    </row>
    <row r="409">
      <c r="P409" s="59"/>
      <c r="AB409" s="59"/>
      <c r="AD409" s="59"/>
      <c r="AI409" s="59"/>
      <c r="AJ409" s="91"/>
      <c r="AK409" s="59"/>
      <c r="AO409" s="59"/>
    </row>
    <row r="410">
      <c r="P410" s="59"/>
      <c r="AB410" s="59"/>
      <c r="AD410" s="59"/>
      <c r="AI410" s="59"/>
      <c r="AJ410" s="91"/>
      <c r="AK410" s="59"/>
      <c r="AO410" s="59"/>
    </row>
    <row r="411">
      <c r="P411" s="59"/>
      <c r="AB411" s="59"/>
      <c r="AD411" s="59"/>
      <c r="AI411" s="59"/>
      <c r="AJ411" s="91"/>
      <c r="AK411" s="59"/>
      <c r="AO411" s="59"/>
    </row>
    <row r="412">
      <c r="P412" s="59"/>
      <c r="AB412" s="59"/>
      <c r="AD412" s="59"/>
      <c r="AI412" s="59"/>
      <c r="AJ412" s="91"/>
      <c r="AK412" s="59"/>
      <c r="AO412" s="59"/>
    </row>
    <row r="413">
      <c r="P413" s="59"/>
      <c r="AB413" s="59"/>
      <c r="AD413" s="59"/>
      <c r="AI413" s="59"/>
      <c r="AJ413" s="91"/>
      <c r="AK413" s="59"/>
      <c r="AO413" s="59"/>
    </row>
    <row r="414">
      <c r="P414" s="59"/>
      <c r="AB414" s="59"/>
      <c r="AD414" s="59"/>
      <c r="AI414" s="59"/>
      <c r="AJ414" s="91"/>
      <c r="AK414" s="59"/>
      <c r="AO414" s="59"/>
    </row>
    <row r="415">
      <c r="P415" s="59"/>
      <c r="AB415" s="59"/>
      <c r="AD415" s="59"/>
      <c r="AI415" s="59"/>
      <c r="AJ415" s="91"/>
      <c r="AK415" s="59"/>
      <c r="AO415" s="59"/>
    </row>
    <row r="416">
      <c r="P416" s="59"/>
      <c r="AB416" s="59"/>
      <c r="AD416" s="59"/>
      <c r="AI416" s="59"/>
      <c r="AJ416" s="91"/>
      <c r="AK416" s="59"/>
      <c r="AO416" s="59"/>
    </row>
    <row r="417">
      <c r="P417" s="59"/>
      <c r="AB417" s="59"/>
      <c r="AD417" s="59"/>
      <c r="AI417" s="59"/>
      <c r="AJ417" s="91"/>
      <c r="AK417" s="59"/>
      <c r="AO417" s="59"/>
    </row>
    <row r="418">
      <c r="P418" s="59"/>
      <c r="AB418" s="59"/>
      <c r="AD418" s="59"/>
      <c r="AI418" s="59"/>
      <c r="AJ418" s="91"/>
      <c r="AK418" s="59"/>
      <c r="AO418" s="59"/>
    </row>
    <row r="419">
      <c r="P419" s="59"/>
      <c r="AB419" s="59"/>
      <c r="AD419" s="59"/>
      <c r="AI419" s="59"/>
      <c r="AJ419" s="91"/>
      <c r="AK419" s="59"/>
      <c r="AO419" s="59"/>
    </row>
    <row r="420">
      <c r="P420" s="59"/>
      <c r="AB420" s="59"/>
      <c r="AD420" s="59"/>
      <c r="AI420" s="59"/>
      <c r="AJ420" s="91"/>
      <c r="AK420" s="59"/>
      <c r="AO420" s="59"/>
    </row>
    <row r="421">
      <c r="P421" s="59"/>
      <c r="AB421" s="59"/>
      <c r="AD421" s="59"/>
      <c r="AI421" s="59"/>
      <c r="AJ421" s="91"/>
      <c r="AK421" s="59"/>
      <c r="AO421" s="59"/>
    </row>
    <row r="422">
      <c r="P422" s="59"/>
      <c r="AB422" s="59"/>
      <c r="AD422" s="59"/>
      <c r="AI422" s="59"/>
      <c r="AJ422" s="91"/>
      <c r="AK422" s="59"/>
      <c r="AO422" s="59"/>
    </row>
    <row r="423">
      <c r="P423" s="59"/>
      <c r="AB423" s="59"/>
      <c r="AD423" s="59"/>
      <c r="AI423" s="59"/>
      <c r="AJ423" s="91"/>
      <c r="AK423" s="59"/>
      <c r="AO423" s="59"/>
    </row>
    <row r="424">
      <c r="P424" s="59"/>
      <c r="AB424" s="59"/>
      <c r="AD424" s="59"/>
      <c r="AI424" s="59"/>
      <c r="AJ424" s="91"/>
      <c r="AK424" s="59"/>
      <c r="AO424" s="59"/>
    </row>
    <row r="425">
      <c r="P425" s="59"/>
      <c r="AB425" s="59"/>
      <c r="AD425" s="59"/>
      <c r="AI425" s="59"/>
      <c r="AJ425" s="91"/>
      <c r="AK425" s="59"/>
      <c r="AO425" s="59"/>
    </row>
    <row r="426">
      <c r="P426" s="59"/>
      <c r="AB426" s="59"/>
      <c r="AD426" s="59"/>
      <c r="AI426" s="59"/>
      <c r="AJ426" s="91"/>
      <c r="AK426" s="59"/>
      <c r="AO426" s="59"/>
    </row>
    <row r="427">
      <c r="P427" s="59"/>
      <c r="AB427" s="59"/>
      <c r="AD427" s="59"/>
      <c r="AI427" s="59"/>
      <c r="AJ427" s="91"/>
      <c r="AK427" s="59"/>
      <c r="AO427" s="59"/>
    </row>
    <row r="428">
      <c r="P428" s="59"/>
      <c r="AB428" s="59"/>
      <c r="AD428" s="59"/>
      <c r="AI428" s="59"/>
      <c r="AJ428" s="91"/>
      <c r="AK428" s="59"/>
      <c r="AO428" s="59"/>
    </row>
    <row r="429">
      <c r="P429" s="59"/>
      <c r="AB429" s="59"/>
      <c r="AD429" s="59"/>
      <c r="AI429" s="59"/>
      <c r="AJ429" s="91"/>
      <c r="AK429" s="59"/>
      <c r="AO429" s="59"/>
    </row>
    <row r="430">
      <c r="P430" s="59"/>
      <c r="AB430" s="59"/>
      <c r="AD430" s="59"/>
      <c r="AI430" s="59"/>
      <c r="AJ430" s="91"/>
      <c r="AK430" s="59"/>
      <c r="AO430" s="59"/>
    </row>
    <row r="431">
      <c r="P431" s="59"/>
      <c r="AB431" s="59"/>
      <c r="AD431" s="59"/>
      <c r="AI431" s="59"/>
      <c r="AJ431" s="91"/>
      <c r="AK431" s="59"/>
      <c r="AO431" s="59"/>
    </row>
    <row r="432">
      <c r="P432" s="59"/>
      <c r="AB432" s="59"/>
      <c r="AD432" s="59"/>
      <c r="AI432" s="59"/>
      <c r="AJ432" s="91"/>
      <c r="AK432" s="59"/>
      <c r="AO432" s="59"/>
    </row>
    <row r="433">
      <c r="P433" s="59"/>
      <c r="AB433" s="59"/>
      <c r="AD433" s="59"/>
      <c r="AI433" s="59"/>
      <c r="AJ433" s="91"/>
      <c r="AK433" s="59"/>
      <c r="AO433" s="59"/>
    </row>
    <row r="434">
      <c r="P434" s="59"/>
      <c r="AB434" s="59"/>
      <c r="AD434" s="59"/>
      <c r="AI434" s="59"/>
      <c r="AJ434" s="91"/>
      <c r="AK434" s="59"/>
      <c r="AO434" s="59"/>
    </row>
    <row r="435">
      <c r="P435" s="59"/>
      <c r="AB435" s="59"/>
      <c r="AD435" s="59"/>
      <c r="AI435" s="59"/>
      <c r="AJ435" s="91"/>
      <c r="AK435" s="59"/>
      <c r="AO435" s="59"/>
    </row>
    <row r="436">
      <c r="P436" s="59"/>
      <c r="AB436" s="59"/>
      <c r="AD436" s="59"/>
      <c r="AI436" s="59"/>
      <c r="AJ436" s="91"/>
      <c r="AK436" s="59"/>
      <c r="AO436" s="59"/>
    </row>
    <row r="437">
      <c r="P437" s="59"/>
      <c r="AB437" s="59"/>
      <c r="AD437" s="59"/>
      <c r="AI437" s="59"/>
      <c r="AJ437" s="91"/>
      <c r="AK437" s="59"/>
      <c r="AO437" s="59"/>
    </row>
    <row r="438">
      <c r="P438" s="59"/>
      <c r="AB438" s="59"/>
      <c r="AD438" s="59"/>
      <c r="AI438" s="59"/>
      <c r="AJ438" s="91"/>
      <c r="AK438" s="59"/>
      <c r="AO438" s="59"/>
    </row>
    <row r="439">
      <c r="P439" s="59"/>
      <c r="AB439" s="59"/>
      <c r="AD439" s="59"/>
      <c r="AI439" s="59"/>
      <c r="AJ439" s="91"/>
      <c r="AK439" s="59"/>
      <c r="AO439" s="59"/>
    </row>
    <row r="440">
      <c r="P440" s="59"/>
      <c r="AB440" s="59"/>
      <c r="AD440" s="59"/>
      <c r="AI440" s="59"/>
      <c r="AJ440" s="91"/>
      <c r="AK440" s="59"/>
      <c r="AO440" s="59"/>
    </row>
    <row r="441">
      <c r="P441" s="59"/>
      <c r="AB441" s="59"/>
      <c r="AD441" s="59"/>
      <c r="AI441" s="59"/>
      <c r="AJ441" s="91"/>
      <c r="AK441" s="59"/>
      <c r="AO441" s="59"/>
    </row>
    <row r="442">
      <c r="P442" s="59"/>
      <c r="AB442" s="59"/>
      <c r="AD442" s="59"/>
      <c r="AI442" s="59"/>
      <c r="AJ442" s="91"/>
      <c r="AK442" s="59"/>
      <c r="AO442" s="59"/>
    </row>
    <row r="443">
      <c r="P443" s="59"/>
      <c r="AB443" s="59"/>
      <c r="AD443" s="59"/>
      <c r="AI443" s="59"/>
      <c r="AJ443" s="91"/>
      <c r="AK443" s="59"/>
      <c r="AO443" s="59"/>
    </row>
    <row r="444">
      <c r="P444" s="59"/>
      <c r="AB444" s="59"/>
      <c r="AD444" s="59"/>
      <c r="AI444" s="59"/>
      <c r="AJ444" s="91"/>
      <c r="AK444" s="59"/>
      <c r="AO444" s="59"/>
    </row>
    <row r="445">
      <c r="P445" s="59"/>
      <c r="AB445" s="59"/>
      <c r="AD445" s="59"/>
      <c r="AI445" s="59"/>
      <c r="AJ445" s="91"/>
      <c r="AK445" s="59"/>
      <c r="AO445" s="59"/>
    </row>
    <row r="446">
      <c r="P446" s="59"/>
      <c r="AB446" s="59"/>
      <c r="AD446" s="59"/>
      <c r="AI446" s="59"/>
      <c r="AJ446" s="91"/>
      <c r="AK446" s="59"/>
      <c r="AO446" s="59"/>
    </row>
    <row r="447">
      <c r="P447" s="59"/>
      <c r="AB447" s="59"/>
      <c r="AD447" s="59"/>
      <c r="AI447" s="59"/>
      <c r="AJ447" s="91"/>
      <c r="AK447" s="59"/>
      <c r="AO447" s="59"/>
    </row>
    <row r="448">
      <c r="P448" s="59"/>
      <c r="AB448" s="59"/>
      <c r="AD448" s="59"/>
      <c r="AI448" s="59"/>
      <c r="AJ448" s="91"/>
      <c r="AK448" s="59"/>
      <c r="AO448" s="59"/>
    </row>
    <row r="449">
      <c r="P449" s="59"/>
      <c r="AB449" s="59"/>
      <c r="AD449" s="59"/>
      <c r="AI449" s="59"/>
      <c r="AJ449" s="91"/>
      <c r="AK449" s="59"/>
      <c r="AO449" s="59"/>
    </row>
    <row r="450">
      <c r="P450" s="59"/>
      <c r="AB450" s="59"/>
      <c r="AD450" s="59"/>
      <c r="AI450" s="59"/>
      <c r="AJ450" s="91"/>
      <c r="AK450" s="59"/>
      <c r="AO450" s="59"/>
    </row>
    <row r="451">
      <c r="P451" s="59"/>
      <c r="AB451" s="59"/>
      <c r="AD451" s="59"/>
      <c r="AI451" s="59"/>
      <c r="AJ451" s="91"/>
      <c r="AK451" s="59"/>
      <c r="AO451" s="59"/>
    </row>
    <row r="452">
      <c r="P452" s="59"/>
      <c r="AB452" s="59"/>
      <c r="AD452" s="59"/>
      <c r="AI452" s="59"/>
      <c r="AJ452" s="91"/>
      <c r="AK452" s="59"/>
      <c r="AO452" s="59"/>
    </row>
    <row r="453">
      <c r="P453" s="59"/>
      <c r="AB453" s="59"/>
      <c r="AD453" s="59"/>
      <c r="AI453" s="59"/>
      <c r="AJ453" s="91"/>
      <c r="AK453" s="59"/>
      <c r="AO453" s="59"/>
    </row>
    <row r="454">
      <c r="P454" s="59"/>
      <c r="AB454" s="59"/>
      <c r="AD454" s="59"/>
      <c r="AI454" s="59"/>
      <c r="AJ454" s="91"/>
      <c r="AK454" s="59"/>
      <c r="AO454" s="59"/>
    </row>
    <row r="455">
      <c r="P455" s="59"/>
      <c r="AB455" s="59"/>
      <c r="AD455" s="59"/>
      <c r="AI455" s="59"/>
      <c r="AJ455" s="91"/>
      <c r="AK455" s="59"/>
      <c r="AO455" s="59"/>
    </row>
    <row r="456">
      <c r="P456" s="59"/>
      <c r="AB456" s="59"/>
      <c r="AD456" s="59"/>
      <c r="AI456" s="59"/>
      <c r="AJ456" s="91"/>
      <c r="AK456" s="59"/>
      <c r="AO456" s="59"/>
    </row>
    <row r="457">
      <c r="P457" s="59"/>
      <c r="AB457" s="59"/>
      <c r="AD457" s="59"/>
      <c r="AI457" s="59"/>
      <c r="AJ457" s="91"/>
      <c r="AK457" s="59"/>
      <c r="AO457" s="59"/>
    </row>
    <row r="458">
      <c r="P458" s="59"/>
      <c r="AB458" s="59"/>
      <c r="AD458" s="59"/>
      <c r="AI458" s="59"/>
      <c r="AJ458" s="91"/>
      <c r="AK458" s="59"/>
      <c r="AO458" s="59"/>
    </row>
    <row r="459">
      <c r="P459" s="59"/>
      <c r="AB459" s="59"/>
      <c r="AD459" s="59"/>
      <c r="AI459" s="59"/>
      <c r="AJ459" s="91"/>
      <c r="AK459" s="59"/>
      <c r="AO459" s="59"/>
    </row>
    <row r="460">
      <c r="P460" s="59"/>
      <c r="AB460" s="59"/>
      <c r="AD460" s="59"/>
      <c r="AI460" s="59"/>
      <c r="AJ460" s="91"/>
      <c r="AK460" s="59"/>
      <c r="AO460" s="59"/>
    </row>
    <row r="461">
      <c r="P461" s="59"/>
      <c r="AB461" s="59"/>
      <c r="AD461" s="59"/>
      <c r="AI461" s="59"/>
      <c r="AJ461" s="91"/>
      <c r="AK461" s="59"/>
      <c r="AO461" s="59"/>
    </row>
    <row r="462">
      <c r="P462" s="59"/>
      <c r="AB462" s="59"/>
      <c r="AD462" s="59"/>
      <c r="AI462" s="59"/>
      <c r="AJ462" s="91"/>
      <c r="AK462" s="59"/>
      <c r="AO462" s="59"/>
    </row>
    <row r="463">
      <c r="P463" s="59"/>
      <c r="AB463" s="59"/>
      <c r="AD463" s="59"/>
      <c r="AI463" s="59"/>
      <c r="AJ463" s="91"/>
      <c r="AK463" s="59"/>
      <c r="AO463" s="59"/>
    </row>
    <row r="464">
      <c r="P464" s="59"/>
      <c r="AB464" s="59"/>
      <c r="AD464" s="59"/>
      <c r="AI464" s="59"/>
      <c r="AJ464" s="91"/>
      <c r="AK464" s="59"/>
      <c r="AO464" s="59"/>
    </row>
    <row r="465">
      <c r="P465" s="59"/>
      <c r="AB465" s="59"/>
      <c r="AD465" s="59"/>
      <c r="AI465" s="59"/>
      <c r="AJ465" s="91"/>
      <c r="AK465" s="59"/>
      <c r="AO465" s="59"/>
    </row>
    <row r="466">
      <c r="P466" s="59"/>
      <c r="AB466" s="59"/>
      <c r="AD466" s="59"/>
      <c r="AI466" s="59"/>
      <c r="AJ466" s="91"/>
      <c r="AK466" s="59"/>
      <c r="AO466" s="59"/>
    </row>
    <row r="467">
      <c r="P467" s="59"/>
      <c r="AB467" s="59"/>
      <c r="AD467" s="59"/>
      <c r="AI467" s="59"/>
      <c r="AJ467" s="91"/>
      <c r="AK467" s="59"/>
      <c r="AO467" s="59"/>
    </row>
    <row r="468">
      <c r="P468" s="59"/>
      <c r="AB468" s="59"/>
      <c r="AD468" s="59"/>
      <c r="AI468" s="59"/>
      <c r="AJ468" s="91"/>
      <c r="AK468" s="59"/>
      <c r="AO468" s="59"/>
    </row>
    <row r="469">
      <c r="P469" s="59"/>
      <c r="AB469" s="59"/>
      <c r="AD469" s="59"/>
      <c r="AI469" s="59"/>
      <c r="AJ469" s="91"/>
      <c r="AK469" s="59"/>
      <c r="AO469" s="59"/>
    </row>
    <row r="470">
      <c r="P470" s="59"/>
      <c r="AB470" s="59"/>
      <c r="AD470" s="59"/>
      <c r="AI470" s="59"/>
      <c r="AJ470" s="91"/>
      <c r="AK470" s="59"/>
      <c r="AO470" s="59"/>
    </row>
    <row r="471">
      <c r="P471" s="59"/>
      <c r="AB471" s="59"/>
      <c r="AD471" s="59"/>
      <c r="AI471" s="59"/>
      <c r="AJ471" s="91"/>
      <c r="AK471" s="59"/>
      <c r="AO471" s="59"/>
    </row>
    <row r="472">
      <c r="P472" s="59"/>
      <c r="AB472" s="59"/>
      <c r="AD472" s="59"/>
      <c r="AI472" s="59"/>
      <c r="AJ472" s="91"/>
      <c r="AK472" s="59"/>
      <c r="AO472" s="59"/>
    </row>
    <row r="473">
      <c r="P473" s="59"/>
      <c r="AB473" s="59"/>
      <c r="AD473" s="59"/>
      <c r="AI473" s="59"/>
      <c r="AJ473" s="91"/>
      <c r="AK473" s="59"/>
      <c r="AO473" s="59"/>
    </row>
    <row r="474">
      <c r="P474" s="59"/>
      <c r="AB474" s="59"/>
      <c r="AD474" s="59"/>
      <c r="AI474" s="59"/>
      <c r="AJ474" s="91"/>
      <c r="AK474" s="59"/>
      <c r="AO474" s="59"/>
    </row>
    <row r="475">
      <c r="P475" s="59"/>
      <c r="AB475" s="59"/>
      <c r="AD475" s="59"/>
      <c r="AI475" s="59"/>
      <c r="AJ475" s="91"/>
      <c r="AK475" s="59"/>
      <c r="AO475" s="59"/>
    </row>
    <row r="476">
      <c r="P476" s="59"/>
      <c r="AB476" s="59"/>
      <c r="AD476" s="59"/>
      <c r="AI476" s="59"/>
      <c r="AJ476" s="91"/>
      <c r="AK476" s="59"/>
      <c r="AO476" s="59"/>
    </row>
    <row r="477">
      <c r="P477" s="59"/>
      <c r="AB477" s="59"/>
      <c r="AD477" s="59"/>
      <c r="AI477" s="59"/>
      <c r="AJ477" s="91"/>
      <c r="AK477" s="59"/>
      <c r="AO477" s="59"/>
    </row>
    <row r="478">
      <c r="P478" s="59"/>
      <c r="AB478" s="59"/>
      <c r="AD478" s="59"/>
      <c r="AI478" s="59"/>
      <c r="AJ478" s="91"/>
      <c r="AK478" s="59"/>
      <c r="AO478" s="59"/>
    </row>
    <row r="479">
      <c r="P479" s="59"/>
      <c r="AB479" s="59"/>
      <c r="AD479" s="59"/>
      <c r="AI479" s="59"/>
      <c r="AJ479" s="91"/>
      <c r="AK479" s="59"/>
      <c r="AO479" s="59"/>
    </row>
    <row r="480">
      <c r="P480" s="59"/>
      <c r="AB480" s="59"/>
      <c r="AD480" s="59"/>
      <c r="AI480" s="59"/>
      <c r="AJ480" s="91"/>
      <c r="AK480" s="59"/>
      <c r="AO480" s="59"/>
    </row>
    <row r="481">
      <c r="P481" s="59"/>
      <c r="AB481" s="59"/>
      <c r="AD481" s="59"/>
      <c r="AI481" s="59"/>
      <c r="AJ481" s="91"/>
      <c r="AK481" s="59"/>
      <c r="AO481" s="59"/>
    </row>
    <row r="482">
      <c r="P482" s="59"/>
      <c r="AB482" s="59"/>
      <c r="AD482" s="59"/>
      <c r="AI482" s="59"/>
      <c r="AJ482" s="91"/>
      <c r="AK482" s="59"/>
      <c r="AO482" s="59"/>
    </row>
    <row r="483">
      <c r="P483" s="59"/>
      <c r="AB483" s="59"/>
      <c r="AD483" s="59"/>
      <c r="AI483" s="59"/>
      <c r="AJ483" s="91"/>
      <c r="AK483" s="59"/>
      <c r="AO483" s="59"/>
    </row>
    <row r="484">
      <c r="P484" s="59"/>
      <c r="AB484" s="59"/>
      <c r="AD484" s="59"/>
      <c r="AI484" s="59"/>
      <c r="AJ484" s="91"/>
      <c r="AK484" s="59"/>
      <c r="AO484" s="59"/>
    </row>
    <row r="485">
      <c r="P485" s="59"/>
      <c r="AB485" s="59"/>
      <c r="AD485" s="59"/>
      <c r="AI485" s="59"/>
      <c r="AJ485" s="91"/>
      <c r="AK485" s="59"/>
      <c r="AO485" s="59"/>
    </row>
    <row r="486">
      <c r="P486" s="59"/>
      <c r="AB486" s="59"/>
      <c r="AD486" s="59"/>
      <c r="AI486" s="59"/>
      <c r="AJ486" s="91"/>
      <c r="AK486" s="59"/>
      <c r="AO486" s="59"/>
    </row>
    <row r="487">
      <c r="P487" s="59"/>
      <c r="AB487" s="59"/>
      <c r="AD487" s="59"/>
      <c r="AI487" s="59"/>
      <c r="AJ487" s="91"/>
      <c r="AK487" s="59"/>
      <c r="AO487" s="59"/>
    </row>
    <row r="488">
      <c r="P488" s="59"/>
      <c r="AB488" s="59"/>
      <c r="AD488" s="59"/>
      <c r="AI488" s="59"/>
      <c r="AJ488" s="91"/>
      <c r="AK488" s="59"/>
      <c r="AO488" s="59"/>
    </row>
    <row r="489">
      <c r="P489" s="59"/>
      <c r="AB489" s="59"/>
      <c r="AD489" s="59"/>
      <c r="AI489" s="59"/>
      <c r="AJ489" s="91"/>
      <c r="AK489" s="59"/>
      <c r="AO489" s="59"/>
    </row>
    <row r="490">
      <c r="P490" s="59"/>
      <c r="AB490" s="59"/>
      <c r="AD490" s="59"/>
      <c r="AI490" s="59"/>
      <c r="AJ490" s="91"/>
      <c r="AK490" s="59"/>
      <c r="AO490" s="59"/>
    </row>
    <row r="491">
      <c r="P491" s="59"/>
      <c r="AB491" s="59"/>
      <c r="AD491" s="59"/>
      <c r="AI491" s="59"/>
      <c r="AJ491" s="91"/>
      <c r="AK491" s="59"/>
      <c r="AO491" s="59"/>
    </row>
    <row r="492">
      <c r="P492" s="59"/>
      <c r="AB492" s="59"/>
      <c r="AD492" s="59"/>
      <c r="AI492" s="59"/>
      <c r="AJ492" s="91"/>
      <c r="AK492" s="59"/>
      <c r="AO492" s="59"/>
    </row>
    <row r="493">
      <c r="P493" s="59"/>
      <c r="AB493" s="59"/>
      <c r="AD493" s="59"/>
      <c r="AI493" s="59"/>
      <c r="AJ493" s="91"/>
      <c r="AK493" s="59"/>
      <c r="AO493" s="59"/>
    </row>
    <row r="494">
      <c r="P494" s="59"/>
      <c r="AB494" s="59"/>
      <c r="AD494" s="59"/>
      <c r="AI494" s="59"/>
      <c r="AJ494" s="91"/>
      <c r="AK494" s="59"/>
      <c r="AO494" s="59"/>
    </row>
    <row r="495">
      <c r="P495" s="59"/>
      <c r="AB495" s="59"/>
      <c r="AD495" s="59"/>
      <c r="AI495" s="59"/>
      <c r="AJ495" s="91"/>
      <c r="AK495" s="59"/>
      <c r="AO495" s="59"/>
    </row>
    <row r="496">
      <c r="P496" s="59"/>
      <c r="AB496" s="59"/>
      <c r="AD496" s="59"/>
      <c r="AI496" s="59"/>
      <c r="AJ496" s="91"/>
      <c r="AK496" s="59"/>
      <c r="AO496" s="59"/>
    </row>
    <row r="497">
      <c r="P497" s="59"/>
      <c r="AB497" s="59"/>
      <c r="AD497" s="59"/>
      <c r="AI497" s="59"/>
      <c r="AJ497" s="91"/>
      <c r="AK497" s="59"/>
      <c r="AO497" s="59"/>
    </row>
    <row r="498">
      <c r="P498" s="59"/>
      <c r="AB498" s="59"/>
      <c r="AD498" s="59"/>
      <c r="AI498" s="59"/>
      <c r="AJ498" s="91"/>
      <c r="AK498" s="59"/>
      <c r="AO498" s="59"/>
    </row>
    <row r="499">
      <c r="P499" s="59"/>
      <c r="AB499" s="59"/>
      <c r="AD499" s="59"/>
      <c r="AI499" s="59"/>
      <c r="AJ499" s="91"/>
      <c r="AK499" s="59"/>
      <c r="AO499" s="59"/>
    </row>
    <row r="500">
      <c r="P500" s="59"/>
      <c r="AB500" s="59"/>
      <c r="AD500" s="59"/>
      <c r="AI500" s="59"/>
      <c r="AJ500" s="91"/>
      <c r="AK500" s="59"/>
      <c r="AO500" s="59"/>
    </row>
    <row r="501">
      <c r="P501" s="59"/>
      <c r="AB501" s="59"/>
      <c r="AD501" s="59"/>
      <c r="AI501" s="59"/>
      <c r="AJ501" s="91"/>
      <c r="AK501" s="59"/>
      <c r="AO501" s="59"/>
    </row>
    <row r="502">
      <c r="P502" s="59"/>
      <c r="AB502" s="59"/>
      <c r="AD502" s="59"/>
      <c r="AI502" s="59"/>
      <c r="AJ502" s="91"/>
      <c r="AK502" s="59"/>
      <c r="AO502" s="59"/>
    </row>
    <row r="503">
      <c r="P503" s="59"/>
      <c r="AB503" s="59"/>
      <c r="AD503" s="59"/>
      <c r="AI503" s="59"/>
      <c r="AJ503" s="91"/>
      <c r="AK503" s="59"/>
      <c r="AO503" s="59"/>
    </row>
    <row r="504">
      <c r="P504" s="59"/>
      <c r="AB504" s="59"/>
      <c r="AD504" s="59"/>
      <c r="AI504" s="59"/>
      <c r="AJ504" s="91"/>
      <c r="AK504" s="59"/>
      <c r="AO504" s="59"/>
    </row>
    <row r="505">
      <c r="P505" s="59"/>
      <c r="AB505" s="59"/>
      <c r="AD505" s="59"/>
      <c r="AI505" s="59"/>
      <c r="AJ505" s="91"/>
      <c r="AK505" s="59"/>
      <c r="AO505" s="59"/>
    </row>
    <row r="506">
      <c r="P506" s="59"/>
      <c r="AB506" s="59"/>
      <c r="AD506" s="59"/>
      <c r="AI506" s="59"/>
      <c r="AJ506" s="91"/>
      <c r="AK506" s="59"/>
      <c r="AO506" s="59"/>
    </row>
    <row r="507">
      <c r="P507" s="59"/>
      <c r="AB507" s="59"/>
      <c r="AD507" s="59"/>
      <c r="AI507" s="59"/>
      <c r="AJ507" s="91"/>
      <c r="AK507" s="59"/>
      <c r="AO507" s="59"/>
    </row>
    <row r="508">
      <c r="P508" s="59"/>
      <c r="AB508" s="59"/>
      <c r="AD508" s="59"/>
      <c r="AI508" s="59"/>
      <c r="AJ508" s="91"/>
      <c r="AK508" s="59"/>
      <c r="AO508" s="59"/>
    </row>
    <row r="509">
      <c r="P509" s="59"/>
      <c r="AB509" s="59"/>
      <c r="AD509" s="59"/>
      <c r="AI509" s="59"/>
      <c r="AJ509" s="91"/>
      <c r="AK509" s="59"/>
      <c r="AO509" s="59"/>
    </row>
    <row r="510">
      <c r="P510" s="59"/>
      <c r="AB510" s="59"/>
      <c r="AD510" s="59"/>
      <c r="AI510" s="59"/>
      <c r="AJ510" s="91"/>
      <c r="AK510" s="59"/>
      <c r="AO510" s="59"/>
    </row>
    <row r="511">
      <c r="P511" s="59"/>
      <c r="AB511" s="59"/>
      <c r="AD511" s="59"/>
      <c r="AI511" s="59"/>
      <c r="AJ511" s="91"/>
      <c r="AK511" s="59"/>
      <c r="AO511" s="59"/>
    </row>
    <row r="512">
      <c r="P512" s="59"/>
      <c r="AB512" s="59"/>
      <c r="AD512" s="59"/>
      <c r="AI512" s="59"/>
      <c r="AJ512" s="91"/>
      <c r="AK512" s="59"/>
      <c r="AO512" s="59"/>
    </row>
    <row r="513">
      <c r="P513" s="59"/>
      <c r="AB513" s="59"/>
      <c r="AD513" s="59"/>
      <c r="AI513" s="59"/>
      <c r="AJ513" s="91"/>
      <c r="AK513" s="59"/>
      <c r="AO513" s="59"/>
    </row>
    <row r="514">
      <c r="P514" s="59"/>
      <c r="AB514" s="59"/>
      <c r="AD514" s="59"/>
      <c r="AI514" s="59"/>
      <c r="AJ514" s="91"/>
      <c r="AK514" s="59"/>
      <c r="AO514" s="59"/>
    </row>
    <row r="515">
      <c r="P515" s="59"/>
      <c r="AB515" s="59"/>
      <c r="AD515" s="59"/>
      <c r="AI515" s="59"/>
      <c r="AJ515" s="91"/>
      <c r="AK515" s="59"/>
      <c r="AO515" s="59"/>
    </row>
    <row r="516">
      <c r="P516" s="59"/>
      <c r="AB516" s="59"/>
      <c r="AD516" s="59"/>
      <c r="AI516" s="59"/>
      <c r="AJ516" s="91"/>
      <c r="AK516" s="59"/>
      <c r="AO516" s="59"/>
    </row>
    <row r="517">
      <c r="P517" s="59"/>
      <c r="AB517" s="59"/>
      <c r="AD517" s="59"/>
      <c r="AI517" s="59"/>
      <c r="AJ517" s="91"/>
      <c r="AK517" s="59"/>
      <c r="AO517" s="59"/>
    </row>
    <row r="518">
      <c r="P518" s="59"/>
      <c r="AB518" s="59"/>
      <c r="AD518" s="59"/>
      <c r="AI518" s="59"/>
      <c r="AJ518" s="91"/>
      <c r="AK518" s="59"/>
      <c r="AO518" s="59"/>
    </row>
    <row r="519">
      <c r="P519" s="59"/>
      <c r="AB519" s="59"/>
      <c r="AD519" s="59"/>
      <c r="AI519" s="59"/>
      <c r="AJ519" s="91"/>
      <c r="AK519" s="59"/>
      <c r="AO519" s="59"/>
    </row>
    <row r="520">
      <c r="P520" s="59"/>
      <c r="AB520" s="59"/>
      <c r="AD520" s="59"/>
      <c r="AI520" s="59"/>
      <c r="AJ520" s="91"/>
      <c r="AK520" s="59"/>
      <c r="AO520" s="59"/>
    </row>
    <row r="521">
      <c r="P521" s="59"/>
      <c r="AB521" s="59"/>
      <c r="AD521" s="59"/>
      <c r="AI521" s="59"/>
      <c r="AJ521" s="91"/>
      <c r="AK521" s="59"/>
      <c r="AO521" s="59"/>
    </row>
    <row r="522">
      <c r="P522" s="59"/>
      <c r="AB522" s="59"/>
      <c r="AD522" s="59"/>
      <c r="AI522" s="59"/>
      <c r="AJ522" s="91"/>
      <c r="AK522" s="59"/>
      <c r="AO522" s="59"/>
    </row>
    <row r="523">
      <c r="P523" s="59"/>
      <c r="AB523" s="59"/>
      <c r="AD523" s="59"/>
      <c r="AI523" s="59"/>
      <c r="AJ523" s="91"/>
      <c r="AK523" s="59"/>
      <c r="AO523" s="59"/>
    </row>
    <row r="524">
      <c r="P524" s="59"/>
      <c r="AB524" s="59"/>
      <c r="AD524" s="59"/>
      <c r="AI524" s="59"/>
      <c r="AJ524" s="91"/>
      <c r="AK524" s="59"/>
      <c r="AO524" s="59"/>
    </row>
    <row r="525">
      <c r="P525" s="59"/>
      <c r="AB525" s="59"/>
      <c r="AD525" s="59"/>
      <c r="AI525" s="59"/>
      <c r="AJ525" s="91"/>
      <c r="AK525" s="59"/>
      <c r="AO525" s="59"/>
    </row>
    <row r="526">
      <c r="P526" s="59"/>
      <c r="AB526" s="59"/>
      <c r="AD526" s="59"/>
      <c r="AI526" s="59"/>
      <c r="AJ526" s="91"/>
      <c r="AK526" s="59"/>
      <c r="AO526" s="59"/>
    </row>
    <row r="527">
      <c r="P527" s="59"/>
      <c r="AB527" s="59"/>
      <c r="AD527" s="59"/>
      <c r="AI527" s="59"/>
      <c r="AJ527" s="91"/>
      <c r="AK527" s="59"/>
      <c r="AO527" s="59"/>
    </row>
    <row r="528">
      <c r="P528" s="59"/>
      <c r="AB528" s="59"/>
      <c r="AD528" s="59"/>
      <c r="AI528" s="59"/>
      <c r="AJ528" s="91"/>
      <c r="AK528" s="59"/>
      <c r="AO528" s="59"/>
    </row>
    <row r="529">
      <c r="P529" s="59"/>
      <c r="AB529" s="59"/>
      <c r="AD529" s="59"/>
      <c r="AI529" s="59"/>
      <c r="AJ529" s="91"/>
      <c r="AK529" s="59"/>
      <c r="AO529" s="59"/>
    </row>
    <row r="530">
      <c r="P530" s="59"/>
      <c r="AB530" s="59"/>
      <c r="AD530" s="59"/>
      <c r="AI530" s="59"/>
      <c r="AJ530" s="91"/>
      <c r="AK530" s="59"/>
      <c r="AO530" s="59"/>
    </row>
    <row r="531">
      <c r="P531" s="59"/>
      <c r="AB531" s="59"/>
      <c r="AD531" s="59"/>
      <c r="AI531" s="59"/>
      <c r="AJ531" s="91"/>
      <c r="AK531" s="59"/>
      <c r="AO531" s="59"/>
    </row>
    <row r="532">
      <c r="P532" s="59"/>
      <c r="AB532" s="59"/>
      <c r="AD532" s="59"/>
      <c r="AI532" s="59"/>
      <c r="AJ532" s="91"/>
      <c r="AK532" s="59"/>
      <c r="AO532" s="59"/>
    </row>
    <row r="533">
      <c r="P533" s="59"/>
      <c r="AB533" s="59"/>
      <c r="AD533" s="59"/>
      <c r="AI533" s="59"/>
      <c r="AJ533" s="91"/>
      <c r="AK533" s="59"/>
      <c r="AO533" s="59"/>
    </row>
    <row r="534">
      <c r="P534" s="59"/>
      <c r="AB534" s="59"/>
      <c r="AD534" s="59"/>
      <c r="AI534" s="59"/>
      <c r="AJ534" s="91"/>
      <c r="AK534" s="59"/>
      <c r="AO534" s="59"/>
    </row>
    <row r="535">
      <c r="P535" s="59"/>
      <c r="AB535" s="59"/>
      <c r="AD535" s="59"/>
      <c r="AI535" s="59"/>
      <c r="AJ535" s="91"/>
      <c r="AK535" s="59"/>
      <c r="AO535" s="59"/>
    </row>
    <row r="536">
      <c r="P536" s="59"/>
      <c r="AB536" s="59"/>
      <c r="AD536" s="59"/>
      <c r="AI536" s="59"/>
      <c r="AJ536" s="91"/>
      <c r="AK536" s="59"/>
      <c r="AO536" s="59"/>
    </row>
    <row r="537">
      <c r="P537" s="59"/>
      <c r="AB537" s="59"/>
      <c r="AD537" s="59"/>
      <c r="AI537" s="59"/>
      <c r="AJ537" s="91"/>
      <c r="AK537" s="59"/>
      <c r="AO537" s="59"/>
    </row>
    <row r="538">
      <c r="P538" s="59"/>
      <c r="AB538" s="59"/>
      <c r="AD538" s="59"/>
      <c r="AI538" s="59"/>
      <c r="AJ538" s="91"/>
      <c r="AK538" s="59"/>
      <c r="AO538" s="59"/>
    </row>
    <row r="539">
      <c r="P539" s="59"/>
      <c r="AB539" s="59"/>
      <c r="AD539" s="59"/>
      <c r="AI539" s="59"/>
      <c r="AJ539" s="91"/>
      <c r="AK539" s="59"/>
      <c r="AO539" s="59"/>
    </row>
    <row r="540">
      <c r="P540" s="59"/>
      <c r="AB540" s="59"/>
      <c r="AD540" s="59"/>
      <c r="AI540" s="59"/>
      <c r="AJ540" s="91"/>
      <c r="AK540" s="59"/>
      <c r="AO540" s="59"/>
    </row>
    <row r="541">
      <c r="P541" s="59"/>
      <c r="AB541" s="59"/>
      <c r="AD541" s="59"/>
      <c r="AI541" s="59"/>
      <c r="AJ541" s="91"/>
      <c r="AK541" s="59"/>
      <c r="AO541" s="59"/>
    </row>
    <row r="542">
      <c r="P542" s="59"/>
      <c r="AB542" s="59"/>
      <c r="AD542" s="59"/>
      <c r="AI542" s="59"/>
      <c r="AJ542" s="91"/>
      <c r="AK542" s="59"/>
      <c r="AO542" s="59"/>
    </row>
    <row r="543">
      <c r="P543" s="59"/>
      <c r="AB543" s="59"/>
      <c r="AD543" s="59"/>
      <c r="AI543" s="59"/>
      <c r="AJ543" s="91"/>
      <c r="AK543" s="59"/>
      <c r="AO543" s="59"/>
    </row>
    <row r="544">
      <c r="P544" s="59"/>
      <c r="AB544" s="59"/>
      <c r="AD544" s="59"/>
      <c r="AI544" s="59"/>
      <c r="AJ544" s="91"/>
      <c r="AK544" s="59"/>
      <c r="AO544" s="59"/>
    </row>
    <row r="545">
      <c r="P545" s="59"/>
      <c r="AB545" s="59"/>
      <c r="AD545" s="59"/>
      <c r="AI545" s="59"/>
      <c r="AJ545" s="91"/>
      <c r="AK545" s="59"/>
      <c r="AO545" s="59"/>
    </row>
    <row r="546">
      <c r="P546" s="59"/>
      <c r="AB546" s="59"/>
      <c r="AD546" s="59"/>
      <c r="AI546" s="59"/>
      <c r="AJ546" s="91"/>
      <c r="AK546" s="59"/>
      <c r="AO546" s="59"/>
    </row>
    <row r="547">
      <c r="P547" s="59"/>
      <c r="AB547" s="59"/>
      <c r="AD547" s="59"/>
      <c r="AI547" s="59"/>
      <c r="AJ547" s="91"/>
      <c r="AK547" s="59"/>
      <c r="AO547" s="59"/>
    </row>
    <row r="548">
      <c r="P548" s="59"/>
      <c r="AB548" s="59"/>
      <c r="AD548" s="59"/>
      <c r="AI548" s="59"/>
      <c r="AJ548" s="91"/>
      <c r="AK548" s="59"/>
      <c r="AO548" s="59"/>
    </row>
    <row r="549">
      <c r="P549" s="59"/>
      <c r="AB549" s="59"/>
      <c r="AD549" s="59"/>
      <c r="AI549" s="59"/>
      <c r="AJ549" s="91"/>
      <c r="AK549" s="59"/>
      <c r="AO549" s="59"/>
    </row>
    <row r="550">
      <c r="P550" s="59"/>
      <c r="AB550" s="59"/>
      <c r="AD550" s="59"/>
      <c r="AI550" s="59"/>
      <c r="AJ550" s="91"/>
      <c r="AK550" s="59"/>
      <c r="AO550" s="59"/>
    </row>
    <row r="551">
      <c r="P551" s="59"/>
      <c r="AB551" s="59"/>
      <c r="AD551" s="59"/>
      <c r="AI551" s="59"/>
      <c r="AJ551" s="91"/>
      <c r="AK551" s="59"/>
      <c r="AO551" s="59"/>
    </row>
    <row r="552">
      <c r="P552" s="59"/>
      <c r="AB552" s="59"/>
      <c r="AD552" s="59"/>
      <c r="AI552" s="59"/>
      <c r="AJ552" s="91"/>
      <c r="AK552" s="59"/>
      <c r="AO552" s="59"/>
    </row>
    <row r="553">
      <c r="P553" s="59"/>
      <c r="AB553" s="59"/>
      <c r="AD553" s="59"/>
      <c r="AI553" s="59"/>
      <c r="AJ553" s="91"/>
      <c r="AK553" s="59"/>
      <c r="AO553" s="59"/>
    </row>
    <row r="554">
      <c r="P554" s="59"/>
      <c r="AB554" s="59"/>
      <c r="AD554" s="59"/>
      <c r="AI554" s="59"/>
      <c r="AJ554" s="91"/>
      <c r="AK554" s="59"/>
      <c r="AO554" s="59"/>
    </row>
    <row r="555">
      <c r="P555" s="59"/>
      <c r="AB555" s="59"/>
      <c r="AD555" s="59"/>
      <c r="AI555" s="59"/>
      <c r="AJ555" s="91"/>
      <c r="AK555" s="59"/>
      <c r="AO555" s="59"/>
    </row>
    <row r="556">
      <c r="P556" s="59"/>
      <c r="AB556" s="59"/>
      <c r="AD556" s="59"/>
      <c r="AI556" s="59"/>
      <c r="AJ556" s="91"/>
      <c r="AK556" s="59"/>
      <c r="AO556" s="59"/>
    </row>
    <row r="557">
      <c r="P557" s="59"/>
      <c r="AB557" s="59"/>
      <c r="AD557" s="59"/>
      <c r="AI557" s="59"/>
      <c r="AJ557" s="91"/>
      <c r="AK557" s="59"/>
      <c r="AO557" s="59"/>
    </row>
    <row r="558">
      <c r="P558" s="59"/>
      <c r="AB558" s="59"/>
      <c r="AD558" s="59"/>
      <c r="AI558" s="59"/>
      <c r="AJ558" s="91"/>
      <c r="AK558" s="59"/>
      <c r="AO558" s="59"/>
    </row>
    <row r="559">
      <c r="P559" s="59"/>
      <c r="AB559" s="59"/>
      <c r="AD559" s="59"/>
      <c r="AI559" s="59"/>
      <c r="AJ559" s="91"/>
      <c r="AK559" s="59"/>
      <c r="AO559" s="59"/>
    </row>
    <row r="560">
      <c r="P560" s="59"/>
      <c r="AB560" s="59"/>
      <c r="AD560" s="59"/>
      <c r="AI560" s="59"/>
      <c r="AJ560" s="91"/>
      <c r="AK560" s="59"/>
      <c r="AO560" s="59"/>
    </row>
    <row r="561">
      <c r="P561" s="59"/>
      <c r="AB561" s="59"/>
      <c r="AD561" s="59"/>
      <c r="AI561" s="59"/>
      <c r="AJ561" s="91"/>
      <c r="AK561" s="59"/>
      <c r="AO561" s="59"/>
    </row>
    <row r="562">
      <c r="P562" s="59"/>
      <c r="AB562" s="59"/>
      <c r="AD562" s="59"/>
      <c r="AI562" s="59"/>
      <c r="AJ562" s="91"/>
      <c r="AK562" s="59"/>
      <c r="AO562" s="59"/>
    </row>
    <row r="563">
      <c r="P563" s="59"/>
      <c r="AB563" s="59"/>
      <c r="AD563" s="59"/>
      <c r="AI563" s="59"/>
      <c r="AJ563" s="91"/>
      <c r="AK563" s="59"/>
      <c r="AO563" s="59"/>
    </row>
    <row r="564">
      <c r="P564" s="59"/>
      <c r="AB564" s="59"/>
      <c r="AD564" s="59"/>
      <c r="AI564" s="59"/>
      <c r="AJ564" s="91"/>
      <c r="AK564" s="59"/>
      <c r="AO564" s="59"/>
    </row>
    <row r="565">
      <c r="P565" s="59"/>
      <c r="AB565" s="59"/>
      <c r="AD565" s="59"/>
      <c r="AI565" s="59"/>
      <c r="AJ565" s="91"/>
      <c r="AK565" s="59"/>
      <c r="AO565" s="59"/>
    </row>
    <row r="566">
      <c r="P566" s="59"/>
      <c r="AB566" s="59"/>
      <c r="AD566" s="59"/>
      <c r="AI566" s="59"/>
      <c r="AJ566" s="91"/>
      <c r="AK566" s="59"/>
      <c r="AO566" s="59"/>
    </row>
    <row r="567">
      <c r="P567" s="59"/>
      <c r="AB567" s="59"/>
      <c r="AD567" s="59"/>
      <c r="AI567" s="59"/>
      <c r="AJ567" s="91"/>
      <c r="AK567" s="59"/>
      <c r="AO567" s="59"/>
    </row>
    <row r="568">
      <c r="P568" s="59"/>
      <c r="AB568" s="59"/>
      <c r="AD568" s="59"/>
      <c r="AI568" s="59"/>
      <c r="AJ568" s="91"/>
      <c r="AK568" s="59"/>
      <c r="AO568" s="59"/>
    </row>
    <row r="569">
      <c r="P569" s="59"/>
      <c r="AB569" s="59"/>
      <c r="AD569" s="59"/>
      <c r="AI569" s="59"/>
      <c r="AJ569" s="91"/>
      <c r="AK569" s="59"/>
      <c r="AO569" s="59"/>
    </row>
    <row r="570">
      <c r="P570" s="59"/>
      <c r="AB570" s="59"/>
      <c r="AD570" s="59"/>
      <c r="AI570" s="59"/>
      <c r="AJ570" s="91"/>
      <c r="AK570" s="59"/>
      <c r="AO570" s="59"/>
    </row>
    <row r="571">
      <c r="P571" s="59"/>
      <c r="AB571" s="59"/>
      <c r="AD571" s="59"/>
      <c r="AI571" s="59"/>
      <c r="AJ571" s="91"/>
      <c r="AK571" s="59"/>
      <c r="AO571" s="59"/>
    </row>
    <row r="572">
      <c r="P572" s="59"/>
      <c r="AB572" s="59"/>
      <c r="AD572" s="59"/>
      <c r="AI572" s="59"/>
      <c r="AJ572" s="91"/>
      <c r="AK572" s="59"/>
      <c r="AO572" s="59"/>
    </row>
    <row r="573">
      <c r="P573" s="59"/>
      <c r="AB573" s="59"/>
      <c r="AD573" s="59"/>
      <c r="AI573" s="59"/>
      <c r="AJ573" s="91"/>
      <c r="AK573" s="59"/>
      <c r="AO573" s="59"/>
    </row>
    <row r="574">
      <c r="P574" s="59"/>
      <c r="AB574" s="59"/>
      <c r="AD574" s="59"/>
      <c r="AI574" s="59"/>
      <c r="AJ574" s="91"/>
      <c r="AK574" s="59"/>
      <c r="AO574" s="59"/>
    </row>
    <row r="575">
      <c r="P575" s="59"/>
      <c r="AB575" s="59"/>
      <c r="AD575" s="59"/>
      <c r="AI575" s="59"/>
      <c r="AJ575" s="91"/>
      <c r="AK575" s="59"/>
      <c r="AO575" s="59"/>
    </row>
    <row r="576">
      <c r="P576" s="59"/>
      <c r="AB576" s="59"/>
      <c r="AD576" s="59"/>
      <c r="AI576" s="59"/>
      <c r="AJ576" s="91"/>
      <c r="AK576" s="59"/>
      <c r="AO576" s="59"/>
    </row>
    <row r="577">
      <c r="P577" s="59"/>
      <c r="AB577" s="59"/>
      <c r="AD577" s="59"/>
      <c r="AI577" s="59"/>
      <c r="AJ577" s="91"/>
      <c r="AK577" s="59"/>
      <c r="AO577" s="59"/>
    </row>
    <row r="578">
      <c r="P578" s="59"/>
      <c r="AB578" s="59"/>
      <c r="AD578" s="59"/>
      <c r="AI578" s="59"/>
      <c r="AJ578" s="91"/>
      <c r="AK578" s="59"/>
      <c r="AO578" s="59"/>
    </row>
    <row r="579">
      <c r="P579" s="59"/>
      <c r="AB579" s="59"/>
      <c r="AD579" s="59"/>
      <c r="AI579" s="59"/>
      <c r="AJ579" s="91"/>
      <c r="AK579" s="59"/>
      <c r="AO579" s="59"/>
    </row>
    <row r="580">
      <c r="P580" s="59"/>
      <c r="AB580" s="59"/>
      <c r="AD580" s="59"/>
      <c r="AI580" s="59"/>
      <c r="AJ580" s="91"/>
      <c r="AK580" s="59"/>
      <c r="AO580" s="59"/>
    </row>
    <row r="581">
      <c r="P581" s="59"/>
      <c r="AB581" s="59"/>
      <c r="AD581" s="59"/>
      <c r="AI581" s="59"/>
      <c r="AJ581" s="91"/>
      <c r="AK581" s="59"/>
      <c r="AO581" s="59"/>
    </row>
    <row r="582">
      <c r="P582" s="59"/>
      <c r="AB582" s="59"/>
      <c r="AD582" s="59"/>
      <c r="AI582" s="59"/>
      <c r="AJ582" s="91"/>
      <c r="AK582" s="59"/>
      <c r="AO582" s="59"/>
    </row>
    <row r="583">
      <c r="P583" s="59"/>
      <c r="AB583" s="59"/>
      <c r="AD583" s="59"/>
      <c r="AI583" s="59"/>
      <c r="AJ583" s="91"/>
      <c r="AK583" s="59"/>
      <c r="AO583" s="59"/>
    </row>
    <row r="584">
      <c r="P584" s="59"/>
      <c r="AB584" s="59"/>
      <c r="AD584" s="59"/>
      <c r="AI584" s="59"/>
      <c r="AJ584" s="91"/>
      <c r="AK584" s="59"/>
      <c r="AO584" s="59"/>
    </row>
    <row r="585">
      <c r="P585" s="59"/>
      <c r="AB585" s="59"/>
      <c r="AD585" s="59"/>
      <c r="AI585" s="59"/>
      <c r="AJ585" s="91"/>
      <c r="AK585" s="59"/>
      <c r="AO585" s="59"/>
    </row>
    <row r="586">
      <c r="P586" s="59"/>
      <c r="AB586" s="59"/>
      <c r="AD586" s="59"/>
      <c r="AI586" s="59"/>
      <c r="AJ586" s="91"/>
      <c r="AK586" s="59"/>
      <c r="AO586" s="59"/>
    </row>
    <row r="587">
      <c r="P587" s="59"/>
      <c r="AB587" s="59"/>
      <c r="AD587" s="59"/>
      <c r="AI587" s="59"/>
      <c r="AJ587" s="91"/>
      <c r="AK587" s="59"/>
      <c r="AO587" s="59"/>
    </row>
    <row r="588">
      <c r="P588" s="59"/>
      <c r="AB588" s="59"/>
      <c r="AD588" s="59"/>
      <c r="AI588" s="59"/>
      <c r="AJ588" s="91"/>
      <c r="AK588" s="59"/>
      <c r="AO588" s="59"/>
    </row>
    <row r="589">
      <c r="P589" s="59"/>
      <c r="AB589" s="59"/>
      <c r="AD589" s="59"/>
      <c r="AI589" s="59"/>
      <c r="AJ589" s="91"/>
      <c r="AK589" s="59"/>
      <c r="AO589" s="59"/>
    </row>
    <row r="590">
      <c r="P590" s="59"/>
      <c r="AB590" s="59"/>
      <c r="AD590" s="59"/>
      <c r="AI590" s="59"/>
      <c r="AJ590" s="91"/>
      <c r="AK590" s="59"/>
      <c r="AO590" s="59"/>
    </row>
    <row r="591">
      <c r="P591" s="59"/>
      <c r="AB591" s="59"/>
      <c r="AD591" s="59"/>
      <c r="AI591" s="59"/>
      <c r="AJ591" s="91"/>
      <c r="AK591" s="59"/>
      <c r="AO591" s="59"/>
    </row>
    <row r="592">
      <c r="P592" s="59"/>
      <c r="AB592" s="59"/>
      <c r="AD592" s="59"/>
      <c r="AI592" s="59"/>
      <c r="AJ592" s="91"/>
      <c r="AK592" s="59"/>
      <c r="AO592" s="59"/>
    </row>
    <row r="593">
      <c r="P593" s="59"/>
      <c r="AB593" s="59"/>
      <c r="AD593" s="59"/>
      <c r="AI593" s="59"/>
      <c r="AJ593" s="91"/>
      <c r="AK593" s="59"/>
      <c r="AO593" s="59"/>
    </row>
    <row r="594">
      <c r="P594" s="59"/>
      <c r="AB594" s="59"/>
      <c r="AD594" s="59"/>
      <c r="AI594" s="59"/>
      <c r="AJ594" s="91"/>
      <c r="AK594" s="59"/>
      <c r="AO594" s="59"/>
    </row>
    <row r="595">
      <c r="P595" s="59"/>
      <c r="AB595" s="59"/>
      <c r="AD595" s="59"/>
      <c r="AI595" s="59"/>
      <c r="AJ595" s="91"/>
      <c r="AK595" s="59"/>
      <c r="AO595" s="59"/>
    </row>
    <row r="596">
      <c r="P596" s="59"/>
      <c r="AB596" s="59"/>
      <c r="AD596" s="59"/>
      <c r="AI596" s="59"/>
      <c r="AJ596" s="91"/>
      <c r="AK596" s="59"/>
      <c r="AO596" s="59"/>
    </row>
    <row r="597">
      <c r="P597" s="59"/>
      <c r="AB597" s="59"/>
      <c r="AD597" s="59"/>
      <c r="AI597" s="59"/>
      <c r="AJ597" s="91"/>
      <c r="AK597" s="59"/>
      <c r="AO597" s="59"/>
    </row>
    <row r="598">
      <c r="P598" s="59"/>
      <c r="AB598" s="59"/>
      <c r="AD598" s="59"/>
      <c r="AI598" s="59"/>
      <c r="AJ598" s="91"/>
      <c r="AK598" s="59"/>
      <c r="AO598" s="59"/>
    </row>
    <row r="599">
      <c r="P599" s="59"/>
      <c r="AB599" s="59"/>
      <c r="AD599" s="59"/>
      <c r="AI599" s="59"/>
      <c r="AJ599" s="91"/>
      <c r="AK599" s="59"/>
      <c r="AO599" s="59"/>
    </row>
    <row r="600">
      <c r="P600" s="59"/>
      <c r="AB600" s="59"/>
      <c r="AD600" s="59"/>
      <c r="AI600" s="59"/>
      <c r="AJ600" s="91"/>
      <c r="AK600" s="59"/>
      <c r="AO600" s="59"/>
    </row>
    <row r="601">
      <c r="P601" s="59"/>
      <c r="AB601" s="59"/>
      <c r="AD601" s="59"/>
      <c r="AI601" s="59"/>
      <c r="AJ601" s="91"/>
      <c r="AK601" s="59"/>
      <c r="AO601" s="59"/>
    </row>
    <row r="602">
      <c r="P602" s="59"/>
      <c r="AB602" s="59"/>
      <c r="AD602" s="59"/>
      <c r="AI602" s="59"/>
      <c r="AJ602" s="91"/>
      <c r="AK602" s="59"/>
      <c r="AO602" s="59"/>
    </row>
    <row r="603">
      <c r="P603" s="59"/>
      <c r="AB603" s="59"/>
      <c r="AD603" s="59"/>
      <c r="AI603" s="59"/>
      <c r="AJ603" s="91"/>
      <c r="AK603" s="59"/>
      <c r="AO603" s="59"/>
    </row>
    <row r="604">
      <c r="P604" s="59"/>
      <c r="AB604" s="59"/>
      <c r="AD604" s="59"/>
      <c r="AI604" s="59"/>
      <c r="AJ604" s="91"/>
      <c r="AK604" s="59"/>
      <c r="AO604" s="59"/>
    </row>
    <row r="605">
      <c r="P605" s="59"/>
      <c r="AB605" s="59"/>
      <c r="AD605" s="59"/>
      <c r="AI605" s="59"/>
      <c r="AJ605" s="91"/>
      <c r="AK605" s="59"/>
      <c r="AO605" s="59"/>
    </row>
    <row r="606">
      <c r="P606" s="59"/>
      <c r="AB606" s="59"/>
      <c r="AD606" s="59"/>
      <c r="AI606" s="59"/>
      <c r="AJ606" s="91"/>
      <c r="AK606" s="59"/>
      <c r="AO606" s="59"/>
    </row>
    <row r="607">
      <c r="P607" s="59"/>
      <c r="AB607" s="59"/>
      <c r="AD607" s="59"/>
      <c r="AI607" s="59"/>
      <c r="AJ607" s="91"/>
      <c r="AK607" s="59"/>
      <c r="AO607" s="59"/>
    </row>
    <row r="608">
      <c r="P608" s="59"/>
      <c r="AB608" s="59"/>
      <c r="AD608" s="59"/>
      <c r="AI608" s="59"/>
      <c r="AJ608" s="91"/>
      <c r="AK608" s="59"/>
      <c r="AO608" s="59"/>
    </row>
    <row r="609">
      <c r="P609" s="59"/>
      <c r="AB609" s="59"/>
      <c r="AD609" s="59"/>
      <c r="AI609" s="59"/>
      <c r="AJ609" s="91"/>
      <c r="AK609" s="59"/>
      <c r="AO609" s="59"/>
    </row>
    <row r="610">
      <c r="P610" s="59"/>
      <c r="AB610" s="59"/>
      <c r="AD610" s="59"/>
      <c r="AI610" s="59"/>
      <c r="AJ610" s="91"/>
      <c r="AK610" s="59"/>
      <c r="AO610" s="59"/>
    </row>
    <row r="611">
      <c r="P611" s="59"/>
      <c r="AB611" s="59"/>
      <c r="AD611" s="59"/>
      <c r="AI611" s="59"/>
      <c r="AJ611" s="91"/>
      <c r="AK611" s="59"/>
      <c r="AO611" s="59"/>
    </row>
    <row r="612">
      <c r="P612" s="59"/>
      <c r="AB612" s="59"/>
      <c r="AD612" s="59"/>
      <c r="AI612" s="59"/>
      <c r="AJ612" s="91"/>
      <c r="AK612" s="59"/>
      <c r="AO612" s="59"/>
    </row>
    <row r="613">
      <c r="P613" s="59"/>
      <c r="AB613" s="59"/>
      <c r="AD613" s="59"/>
      <c r="AI613" s="59"/>
      <c r="AJ613" s="91"/>
      <c r="AK613" s="59"/>
      <c r="AO613" s="59"/>
    </row>
    <row r="614">
      <c r="P614" s="59"/>
      <c r="AB614" s="59"/>
      <c r="AD614" s="59"/>
      <c r="AI614" s="59"/>
      <c r="AJ614" s="91"/>
      <c r="AK614" s="59"/>
      <c r="AO614" s="59"/>
    </row>
    <row r="615">
      <c r="P615" s="59"/>
      <c r="AB615" s="59"/>
      <c r="AD615" s="59"/>
      <c r="AI615" s="59"/>
      <c r="AJ615" s="91"/>
      <c r="AK615" s="59"/>
      <c r="AO615" s="59"/>
    </row>
    <row r="616">
      <c r="P616" s="59"/>
      <c r="AB616" s="59"/>
      <c r="AD616" s="59"/>
      <c r="AI616" s="59"/>
      <c r="AJ616" s="91"/>
      <c r="AK616" s="59"/>
      <c r="AO616" s="59"/>
    </row>
    <row r="617">
      <c r="P617" s="59"/>
      <c r="AB617" s="59"/>
      <c r="AD617" s="59"/>
      <c r="AI617" s="59"/>
      <c r="AJ617" s="91"/>
      <c r="AK617" s="59"/>
      <c r="AO617" s="59"/>
    </row>
    <row r="618">
      <c r="P618" s="59"/>
      <c r="AB618" s="59"/>
      <c r="AD618" s="59"/>
      <c r="AI618" s="59"/>
      <c r="AJ618" s="91"/>
      <c r="AK618" s="59"/>
      <c r="AO618" s="59"/>
    </row>
    <row r="619">
      <c r="P619" s="59"/>
      <c r="AB619" s="59"/>
      <c r="AD619" s="59"/>
      <c r="AI619" s="59"/>
      <c r="AJ619" s="91"/>
      <c r="AK619" s="59"/>
      <c r="AO619" s="59"/>
    </row>
    <row r="620">
      <c r="P620" s="59"/>
      <c r="AB620" s="59"/>
      <c r="AD620" s="59"/>
      <c r="AI620" s="59"/>
      <c r="AJ620" s="91"/>
      <c r="AK620" s="59"/>
      <c r="AO620" s="59"/>
    </row>
    <row r="621">
      <c r="P621" s="59"/>
      <c r="AB621" s="59"/>
      <c r="AD621" s="59"/>
      <c r="AI621" s="59"/>
      <c r="AJ621" s="91"/>
      <c r="AK621" s="59"/>
      <c r="AO621" s="59"/>
    </row>
    <row r="622">
      <c r="P622" s="59"/>
      <c r="AB622" s="59"/>
      <c r="AD622" s="59"/>
      <c r="AI622" s="59"/>
      <c r="AJ622" s="91"/>
      <c r="AK622" s="59"/>
      <c r="AO622" s="59"/>
    </row>
    <row r="623">
      <c r="P623" s="59"/>
      <c r="AB623" s="59"/>
      <c r="AD623" s="59"/>
      <c r="AI623" s="59"/>
      <c r="AJ623" s="91"/>
      <c r="AK623" s="59"/>
      <c r="AO623" s="59"/>
    </row>
    <row r="624">
      <c r="P624" s="59"/>
      <c r="AB624" s="59"/>
      <c r="AD624" s="59"/>
      <c r="AI624" s="59"/>
      <c r="AJ624" s="91"/>
      <c r="AK624" s="59"/>
      <c r="AO624" s="59"/>
    </row>
    <row r="625">
      <c r="P625" s="59"/>
      <c r="AB625" s="59"/>
      <c r="AD625" s="59"/>
      <c r="AI625" s="59"/>
      <c r="AJ625" s="91"/>
      <c r="AK625" s="59"/>
      <c r="AO625" s="59"/>
    </row>
    <row r="626">
      <c r="P626" s="59"/>
      <c r="AB626" s="59"/>
      <c r="AD626" s="59"/>
      <c r="AI626" s="59"/>
      <c r="AJ626" s="91"/>
      <c r="AK626" s="59"/>
      <c r="AO626" s="59"/>
    </row>
    <row r="627">
      <c r="P627" s="59"/>
      <c r="AB627" s="59"/>
      <c r="AD627" s="59"/>
      <c r="AI627" s="59"/>
      <c r="AJ627" s="91"/>
      <c r="AK627" s="59"/>
      <c r="AO627" s="59"/>
    </row>
    <row r="628">
      <c r="P628" s="59"/>
      <c r="AB628" s="59"/>
      <c r="AD628" s="59"/>
      <c r="AI628" s="59"/>
      <c r="AJ628" s="91"/>
      <c r="AK628" s="59"/>
      <c r="AO628" s="59"/>
    </row>
    <row r="629">
      <c r="P629" s="59"/>
      <c r="AB629" s="59"/>
      <c r="AD629" s="59"/>
      <c r="AI629" s="59"/>
      <c r="AJ629" s="91"/>
      <c r="AK629" s="59"/>
      <c r="AO629" s="59"/>
    </row>
    <row r="630">
      <c r="P630" s="59"/>
      <c r="AB630" s="59"/>
      <c r="AD630" s="59"/>
      <c r="AI630" s="59"/>
      <c r="AJ630" s="91"/>
      <c r="AK630" s="59"/>
      <c r="AO630" s="59"/>
    </row>
    <row r="631">
      <c r="P631" s="59"/>
      <c r="AB631" s="59"/>
      <c r="AD631" s="59"/>
      <c r="AI631" s="59"/>
      <c r="AJ631" s="91"/>
      <c r="AK631" s="59"/>
      <c r="AO631" s="59"/>
    </row>
    <row r="632">
      <c r="P632" s="59"/>
      <c r="AB632" s="59"/>
      <c r="AD632" s="59"/>
      <c r="AI632" s="59"/>
      <c r="AJ632" s="91"/>
      <c r="AK632" s="59"/>
      <c r="AO632" s="59"/>
    </row>
    <row r="633">
      <c r="P633" s="59"/>
      <c r="AB633" s="59"/>
      <c r="AD633" s="59"/>
      <c r="AI633" s="59"/>
      <c r="AJ633" s="91"/>
      <c r="AK633" s="59"/>
      <c r="AO633" s="59"/>
    </row>
    <row r="634">
      <c r="P634" s="59"/>
      <c r="AB634" s="59"/>
      <c r="AD634" s="59"/>
      <c r="AI634" s="59"/>
      <c r="AJ634" s="91"/>
      <c r="AK634" s="59"/>
      <c r="AO634" s="59"/>
    </row>
    <row r="635">
      <c r="P635" s="59"/>
      <c r="AB635" s="59"/>
      <c r="AD635" s="59"/>
      <c r="AI635" s="59"/>
      <c r="AJ635" s="91"/>
      <c r="AK635" s="59"/>
      <c r="AO635" s="59"/>
    </row>
    <row r="636">
      <c r="P636" s="59"/>
      <c r="AB636" s="59"/>
      <c r="AD636" s="59"/>
      <c r="AI636" s="59"/>
      <c r="AJ636" s="91"/>
      <c r="AK636" s="59"/>
      <c r="AO636" s="59"/>
    </row>
    <row r="637">
      <c r="P637" s="59"/>
      <c r="AB637" s="59"/>
      <c r="AD637" s="59"/>
      <c r="AI637" s="59"/>
      <c r="AJ637" s="91"/>
      <c r="AK637" s="59"/>
      <c r="AO637" s="59"/>
    </row>
    <row r="638">
      <c r="P638" s="59"/>
      <c r="AB638" s="59"/>
      <c r="AD638" s="59"/>
      <c r="AI638" s="59"/>
      <c r="AJ638" s="91"/>
      <c r="AK638" s="59"/>
      <c r="AO638" s="59"/>
    </row>
    <row r="639">
      <c r="P639" s="59"/>
      <c r="AB639" s="59"/>
      <c r="AD639" s="59"/>
      <c r="AI639" s="59"/>
      <c r="AJ639" s="91"/>
      <c r="AK639" s="59"/>
      <c r="AO639" s="59"/>
    </row>
    <row r="640">
      <c r="P640" s="59"/>
      <c r="AB640" s="59"/>
      <c r="AD640" s="59"/>
      <c r="AI640" s="59"/>
      <c r="AJ640" s="91"/>
      <c r="AK640" s="59"/>
      <c r="AO640" s="59"/>
    </row>
    <row r="641">
      <c r="P641" s="59"/>
      <c r="AB641" s="59"/>
      <c r="AD641" s="59"/>
      <c r="AI641" s="59"/>
      <c r="AJ641" s="91"/>
      <c r="AK641" s="59"/>
      <c r="AO641" s="59"/>
    </row>
    <row r="642">
      <c r="P642" s="59"/>
      <c r="AB642" s="59"/>
      <c r="AD642" s="59"/>
      <c r="AI642" s="59"/>
      <c r="AJ642" s="91"/>
      <c r="AK642" s="59"/>
      <c r="AO642" s="59"/>
    </row>
    <row r="643">
      <c r="P643" s="59"/>
      <c r="AB643" s="59"/>
      <c r="AD643" s="59"/>
      <c r="AI643" s="59"/>
      <c r="AJ643" s="91"/>
      <c r="AK643" s="59"/>
      <c r="AO643" s="59"/>
    </row>
    <row r="644">
      <c r="P644" s="59"/>
      <c r="AB644" s="59"/>
      <c r="AD644" s="59"/>
      <c r="AI644" s="59"/>
      <c r="AJ644" s="91"/>
      <c r="AK644" s="59"/>
      <c r="AO644" s="59"/>
    </row>
    <row r="645">
      <c r="P645" s="59"/>
      <c r="AB645" s="59"/>
      <c r="AD645" s="59"/>
      <c r="AI645" s="59"/>
      <c r="AJ645" s="91"/>
      <c r="AK645" s="59"/>
      <c r="AO645" s="59"/>
    </row>
    <row r="646">
      <c r="P646" s="59"/>
      <c r="AB646" s="59"/>
      <c r="AD646" s="59"/>
      <c r="AI646" s="59"/>
      <c r="AJ646" s="91"/>
      <c r="AK646" s="59"/>
      <c r="AO646" s="59"/>
    </row>
    <row r="647">
      <c r="P647" s="59"/>
      <c r="AB647" s="59"/>
      <c r="AD647" s="59"/>
      <c r="AI647" s="59"/>
      <c r="AJ647" s="91"/>
      <c r="AK647" s="59"/>
      <c r="AO647" s="59"/>
    </row>
    <row r="648">
      <c r="P648" s="59"/>
      <c r="AB648" s="59"/>
      <c r="AD648" s="59"/>
      <c r="AI648" s="59"/>
      <c r="AJ648" s="91"/>
      <c r="AK648" s="59"/>
      <c r="AO648" s="59"/>
    </row>
    <row r="649">
      <c r="P649" s="59"/>
      <c r="AB649" s="59"/>
      <c r="AD649" s="59"/>
      <c r="AI649" s="59"/>
      <c r="AJ649" s="91"/>
      <c r="AK649" s="59"/>
      <c r="AO649" s="59"/>
    </row>
    <row r="650">
      <c r="P650" s="59"/>
      <c r="AB650" s="59"/>
      <c r="AD650" s="59"/>
      <c r="AI650" s="59"/>
      <c r="AJ650" s="91"/>
      <c r="AK650" s="59"/>
      <c r="AO650" s="59"/>
    </row>
    <row r="651">
      <c r="P651" s="59"/>
      <c r="AB651" s="59"/>
      <c r="AD651" s="59"/>
      <c r="AI651" s="59"/>
      <c r="AJ651" s="91"/>
      <c r="AK651" s="59"/>
      <c r="AO651" s="59"/>
    </row>
    <row r="652">
      <c r="P652" s="59"/>
      <c r="AB652" s="59"/>
      <c r="AD652" s="59"/>
      <c r="AI652" s="59"/>
      <c r="AJ652" s="91"/>
      <c r="AK652" s="59"/>
      <c r="AO652" s="59"/>
    </row>
    <row r="653">
      <c r="P653" s="59"/>
      <c r="AB653" s="59"/>
      <c r="AD653" s="59"/>
      <c r="AI653" s="59"/>
      <c r="AJ653" s="91"/>
      <c r="AK653" s="59"/>
      <c r="AO653" s="59"/>
    </row>
    <row r="654">
      <c r="P654" s="59"/>
      <c r="AB654" s="59"/>
      <c r="AD654" s="59"/>
      <c r="AI654" s="59"/>
      <c r="AJ654" s="91"/>
      <c r="AK654" s="59"/>
      <c r="AO654" s="59"/>
    </row>
    <row r="655">
      <c r="P655" s="59"/>
      <c r="AB655" s="59"/>
      <c r="AD655" s="59"/>
      <c r="AI655" s="59"/>
      <c r="AJ655" s="91"/>
      <c r="AK655" s="59"/>
      <c r="AO655" s="59"/>
    </row>
    <row r="656">
      <c r="P656" s="59"/>
      <c r="AB656" s="59"/>
      <c r="AD656" s="59"/>
      <c r="AI656" s="59"/>
      <c r="AJ656" s="91"/>
      <c r="AK656" s="59"/>
      <c r="AO656" s="59"/>
    </row>
    <row r="657">
      <c r="P657" s="59"/>
      <c r="AB657" s="59"/>
      <c r="AD657" s="59"/>
      <c r="AI657" s="59"/>
      <c r="AJ657" s="91"/>
      <c r="AK657" s="59"/>
      <c r="AO657" s="59"/>
    </row>
    <row r="658">
      <c r="P658" s="59"/>
      <c r="AB658" s="59"/>
      <c r="AD658" s="59"/>
      <c r="AI658" s="59"/>
      <c r="AJ658" s="91"/>
      <c r="AK658" s="59"/>
      <c r="AO658" s="59"/>
    </row>
    <row r="659">
      <c r="P659" s="59"/>
      <c r="AB659" s="59"/>
      <c r="AD659" s="59"/>
      <c r="AI659" s="59"/>
      <c r="AJ659" s="91"/>
      <c r="AK659" s="59"/>
      <c r="AO659" s="59"/>
    </row>
    <row r="660">
      <c r="P660" s="59"/>
      <c r="AB660" s="59"/>
      <c r="AD660" s="59"/>
      <c r="AI660" s="59"/>
      <c r="AJ660" s="91"/>
      <c r="AK660" s="59"/>
      <c r="AO660" s="59"/>
    </row>
    <row r="661">
      <c r="P661" s="59"/>
      <c r="AB661" s="59"/>
      <c r="AD661" s="59"/>
      <c r="AI661" s="59"/>
      <c r="AJ661" s="91"/>
      <c r="AK661" s="59"/>
      <c r="AO661" s="59"/>
    </row>
    <row r="662">
      <c r="P662" s="59"/>
      <c r="AB662" s="59"/>
      <c r="AD662" s="59"/>
      <c r="AI662" s="59"/>
      <c r="AJ662" s="91"/>
      <c r="AK662" s="59"/>
      <c r="AO662" s="59"/>
    </row>
    <row r="663">
      <c r="P663" s="59"/>
      <c r="AB663" s="59"/>
      <c r="AD663" s="59"/>
      <c r="AI663" s="59"/>
      <c r="AJ663" s="91"/>
      <c r="AK663" s="59"/>
      <c r="AO663" s="59"/>
    </row>
    <row r="664">
      <c r="P664" s="59"/>
      <c r="AB664" s="59"/>
      <c r="AD664" s="59"/>
      <c r="AI664" s="59"/>
      <c r="AJ664" s="91"/>
      <c r="AK664" s="59"/>
      <c r="AO664" s="59"/>
    </row>
    <row r="665">
      <c r="P665" s="59"/>
      <c r="AB665" s="59"/>
      <c r="AD665" s="59"/>
      <c r="AI665" s="59"/>
      <c r="AJ665" s="91"/>
      <c r="AK665" s="59"/>
      <c r="AO665" s="59"/>
    </row>
    <row r="666">
      <c r="P666" s="59"/>
      <c r="AB666" s="59"/>
      <c r="AD666" s="59"/>
      <c r="AI666" s="59"/>
      <c r="AJ666" s="91"/>
      <c r="AK666" s="59"/>
      <c r="AO666" s="59"/>
    </row>
    <row r="667">
      <c r="P667" s="59"/>
      <c r="AB667" s="59"/>
      <c r="AD667" s="59"/>
      <c r="AI667" s="59"/>
      <c r="AJ667" s="91"/>
      <c r="AK667" s="59"/>
      <c r="AO667" s="59"/>
    </row>
    <row r="668">
      <c r="P668" s="59"/>
      <c r="AB668" s="59"/>
      <c r="AD668" s="59"/>
      <c r="AI668" s="59"/>
      <c r="AJ668" s="91"/>
      <c r="AK668" s="59"/>
      <c r="AO668" s="59"/>
    </row>
    <row r="669">
      <c r="P669" s="59"/>
      <c r="AB669" s="59"/>
      <c r="AD669" s="59"/>
      <c r="AI669" s="59"/>
      <c r="AJ669" s="91"/>
      <c r="AK669" s="59"/>
      <c r="AO669" s="59"/>
    </row>
    <row r="670">
      <c r="P670" s="59"/>
      <c r="AB670" s="59"/>
      <c r="AD670" s="59"/>
      <c r="AI670" s="59"/>
      <c r="AJ670" s="91"/>
      <c r="AK670" s="59"/>
      <c r="AO670" s="59"/>
    </row>
    <row r="671">
      <c r="P671" s="59"/>
      <c r="AB671" s="59"/>
      <c r="AD671" s="59"/>
      <c r="AI671" s="59"/>
      <c r="AJ671" s="91"/>
      <c r="AK671" s="59"/>
      <c r="AO671" s="59"/>
    </row>
    <row r="672">
      <c r="P672" s="59"/>
      <c r="AB672" s="59"/>
      <c r="AD672" s="59"/>
      <c r="AI672" s="59"/>
      <c r="AJ672" s="91"/>
      <c r="AK672" s="59"/>
      <c r="AO672" s="59"/>
    </row>
    <row r="673">
      <c r="P673" s="59"/>
      <c r="AB673" s="59"/>
      <c r="AD673" s="59"/>
      <c r="AI673" s="59"/>
      <c r="AJ673" s="91"/>
      <c r="AK673" s="59"/>
      <c r="AO673" s="59"/>
    </row>
    <row r="674">
      <c r="P674" s="59"/>
      <c r="AB674" s="59"/>
      <c r="AD674" s="59"/>
      <c r="AI674" s="59"/>
      <c r="AJ674" s="91"/>
      <c r="AK674" s="59"/>
      <c r="AO674" s="59"/>
    </row>
    <row r="675">
      <c r="P675" s="59"/>
      <c r="AB675" s="59"/>
      <c r="AD675" s="59"/>
      <c r="AI675" s="59"/>
      <c r="AJ675" s="91"/>
      <c r="AK675" s="59"/>
      <c r="AO675" s="59"/>
    </row>
    <row r="676">
      <c r="P676" s="59"/>
      <c r="AB676" s="59"/>
      <c r="AD676" s="59"/>
      <c r="AI676" s="59"/>
      <c r="AJ676" s="91"/>
      <c r="AK676" s="59"/>
      <c r="AO676" s="59"/>
    </row>
    <row r="677">
      <c r="P677" s="59"/>
      <c r="AB677" s="59"/>
      <c r="AD677" s="59"/>
      <c r="AI677" s="59"/>
      <c r="AJ677" s="91"/>
      <c r="AK677" s="59"/>
      <c r="AO677" s="59"/>
    </row>
    <row r="678">
      <c r="P678" s="59"/>
      <c r="AB678" s="59"/>
      <c r="AD678" s="59"/>
      <c r="AI678" s="59"/>
      <c r="AJ678" s="91"/>
      <c r="AK678" s="59"/>
      <c r="AO678" s="59"/>
    </row>
    <row r="679">
      <c r="P679" s="59"/>
      <c r="AB679" s="59"/>
      <c r="AD679" s="59"/>
      <c r="AI679" s="59"/>
      <c r="AJ679" s="91"/>
      <c r="AK679" s="59"/>
      <c r="AO679" s="59"/>
    </row>
    <row r="680">
      <c r="P680" s="59"/>
      <c r="AB680" s="59"/>
      <c r="AD680" s="59"/>
      <c r="AI680" s="59"/>
      <c r="AJ680" s="91"/>
      <c r="AK680" s="59"/>
      <c r="AO680" s="59"/>
    </row>
    <row r="681">
      <c r="P681" s="59"/>
      <c r="AB681" s="59"/>
      <c r="AD681" s="59"/>
      <c r="AI681" s="59"/>
      <c r="AJ681" s="91"/>
      <c r="AK681" s="59"/>
      <c r="AO681" s="59"/>
    </row>
    <row r="682">
      <c r="P682" s="59"/>
      <c r="AB682" s="59"/>
      <c r="AD682" s="59"/>
      <c r="AI682" s="59"/>
      <c r="AJ682" s="91"/>
      <c r="AK682" s="59"/>
      <c r="AO682" s="59"/>
    </row>
    <row r="683">
      <c r="P683" s="59"/>
      <c r="AB683" s="59"/>
      <c r="AD683" s="59"/>
      <c r="AI683" s="59"/>
      <c r="AJ683" s="91"/>
      <c r="AK683" s="59"/>
      <c r="AO683" s="59"/>
    </row>
    <row r="684">
      <c r="P684" s="59"/>
      <c r="AB684" s="59"/>
      <c r="AD684" s="59"/>
      <c r="AI684" s="59"/>
      <c r="AJ684" s="91"/>
      <c r="AK684" s="59"/>
      <c r="AO684" s="59"/>
    </row>
    <row r="685">
      <c r="P685" s="59"/>
      <c r="AB685" s="59"/>
      <c r="AD685" s="59"/>
      <c r="AI685" s="59"/>
      <c r="AJ685" s="91"/>
      <c r="AK685" s="59"/>
      <c r="AO685" s="59"/>
    </row>
    <row r="686">
      <c r="P686" s="59"/>
      <c r="AB686" s="59"/>
      <c r="AD686" s="59"/>
      <c r="AI686" s="59"/>
      <c r="AJ686" s="91"/>
      <c r="AK686" s="59"/>
      <c r="AO686" s="59"/>
    </row>
    <row r="687">
      <c r="P687" s="59"/>
      <c r="AB687" s="59"/>
      <c r="AD687" s="59"/>
      <c r="AI687" s="59"/>
      <c r="AJ687" s="91"/>
      <c r="AK687" s="59"/>
      <c r="AO687" s="59"/>
    </row>
    <row r="688">
      <c r="P688" s="59"/>
      <c r="AB688" s="59"/>
      <c r="AD688" s="59"/>
      <c r="AI688" s="59"/>
      <c r="AJ688" s="91"/>
      <c r="AK688" s="59"/>
      <c r="AO688" s="59"/>
    </row>
    <row r="689">
      <c r="P689" s="59"/>
      <c r="AB689" s="59"/>
      <c r="AD689" s="59"/>
      <c r="AI689" s="59"/>
      <c r="AJ689" s="91"/>
      <c r="AK689" s="59"/>
      <c r="AO689" s="59"/>
    </row>
    <row r="690">
      <c r="P690" s="59"/>
      <c r="AB690" s="59"/>
      <c r="AD690" s="59"/>
      <c r="AI690" s="59"/>
      <c r="AJ690" s="91"/>
      <c r="AK690" s="59"/>
      <c r="AO690" s="59"/>
    </row>
    <row r="691">
      <c r="P691" s="59"/>
      <c r="AB691" s="59"/>
      <c r="AD691" s="59"/>
      <c r="AI691" s="59"/>
      <c r="AJ691" s="91"/>
      <c r="AK691" s="59"/>
      <c r="AO691" s="59"/>
    </row>
    <row r="692">
      <c r="P692" s="59"/>
      <c r="AB692" s="59"/>
      <c r="AD692" s="59"/>
      <c r="AI692" s="59"/>
      <c r="AJ692" s="91"/>
      <c r="AK692" s="59"/>
      <c r="AO692" s="59"/>
    </row>
    <row r="693">
      <c r="P693" s="59"/>
      <c r="AB693" s="59"/>
      <c r="AD693" s="59"/>
      <c r="AI693" s="59"/>
      <c r="AJ693" s="91"/>
      <c r="AK693" s="59"/>
      <c r="AO693" s="59"/>
    </row>
    <row r="694">
      <c r="P694" s="59"/>
      <c r="AB694" s="59"/>
      <c r="AD694" s="59"/>
      <c r="AI694" s="59"/>
      <c r="AJ694" s="91"/>
      <c r="AK694" s="59"/>
      <c r="AO694" s="59"/>
    </row>
    <row r="695">
      <c r="P695" s="59"/>
      <c r="AB695" s="59"/>
      <c r="AD695" s="59"/>
      <c r="AI695" s="59"/>
      <c r="AJ695" s="91"/>
      <c r="AK695" s="59"/>
      <c r="AO695" s="59"/>
    </row>
    <row r="696">
      <c r="P696" s="59"/>
      <c r="AB696" s="59"/>
      <c r="AD696" s="59"/>
      <c r="AI696" s="59"/>
      <c r="AJ696" s="91"/>
      <c r="AK696" s="59"/>
      <c r="AO696" s="59"/>
    </row>
    <row r="697">
      <c r="P697" s="59"/>
      <c r="AB697" s="59"/>
      <c r="AD697" s="59"/>
      <c r="AI697" s="59"/>
      <c r="AJ697" s="91"/>
      <c r="AK697" s="59"/>
      <c r="AO697" s="59"/>
    </row>
    <row r="698">
      <c r="P698" s="59"/>
      <c r="AB698" s="59"/>
      <c r="AD698" s="59"/>
      <c r="AI698" s="59"/>
      <c r="AJ698" s="91"/>
      <c r="AK698" s="59"/>
      <c r="AO698" s="59"/>
    </row>
    <row r="699">
      <c r="P699" s="59"/>
      <c r="AB699" s="59"/>
      <c r="AD699" s="59"/>
      <c r="AI699" s="59"/>
      <c r="AJ699" s="91"/>
      <c r="AK699" s="59"/>
      <c r="AO699" s="59"/>
    </row>
    <row r="700">
      <c r="P700" s="59"/>
      <c r="AB700" s="59"/>
      <c r="AD700" s="59"/>
      <c r="AI700" s="59"/>
      <c r="AJ700" s="91"/>
      <c r="AK700" s="59"/>
      <c r="AO700" s="59"/>
    </row>
    <row r="701">
      <c r="P701" s="59"/>
      <c r="AB701" s="59"/>
      <c r="AD701" s="59"/>
      <c r="AI701" s="59"/>
      <c r="AJ701" s="91"/>
      <c r="AK701" s="59"/>
      <c r="AO701" s="59"/>
    </row>
    <row r="702">
      <c r="P702" s="59"/>
      <c r="AB702" s="59"/>
      <c r="AD702" s="59"/>
      <c r="AI702" s="59"/>
      <c r="AJ702" s="91"/>
      <c r="AK702" s="59"/>
      <c r="AO702" s="59"/>
    </row>
    <row r="703">
      <c r="P703" s="59"/>
      <c r="AB703" s="59"/>
      <c r="AD703" s="59"/>
      <c r="AI703" s="59"/>
      <c r="AJ703" s="91"/>
      <c r="AK703" s="59"/>
      <c r="AO703" s="59"/>
    </row>
    <row r="704">
      <c r="P704" s="59"/>
      <c r="AB704" s="59"/>
      <c r="AD704" s="59"/>
      <c r="AI704" s="59"/>
      <c r="AJ704" s="91"/>
      <c r="AK704" s="59"/>
      <c r="AO704" s="59"/>
    </row>
    <row r="705">
      <c r="P705" s="59"/>
      <c r="AB705" s="59"/>
      <c r="AD705" s="59"/>
      <c r="AI705" s="59"/>
      <c r="AJ705" s="91"/>
      <c r="AK705" s="59"/>
      <c r="AO705" s="59"/>
    </row>
    <row r="706">
      <c r="P706" s="59"/>
      <c r="AB706" s="59"/>
      <c r="AD706" s="59"/>
      <c r="AI706" s="59"/>
      <c r="AJ706" s="91"/>
      <c r="AK706" s="59"/>
      <c r="AO706" s="59"/>
    </row>
    <row r="707">
      <c r="P707" s="59"/>
      <c r="AB707" s="59"/>
      <c r="AD707" s="59"/>
      <c r="AI707" s="59"/>
      <c r="AJ707" s="91"/>
      <c r="AK707" s="59"/>
      <c r="AO707" s="59"/>
    </row>
    <row r="708">
      <c r="P708" s="59"/>
      <c r="AB708" s="59"/>
      <c r="AD708" s="59"/>
      <c r="AI708" s="59"/>
      <c r="AJ708" s="91"/>
      <c r="AK708" s="59"/>
      <c r="AO708" s="59"/>
    </row>
    <row r="709">
      <c r="P709" s="59"/>
      <c r="AB709" s="59"/>
      <c r="AD709" s="59"/>
      <c r="AI709" s="59"/>
      <c r="AJ709" s="91"/>
      <c r="AK709" s="59"/>
      <c r="AO709" s="59"/>
    </row>
    <row r="710">
      <c r="P710" s="59"/>
      <c r="AB710" s="59"/>
      <c r="AD710" s="59"/>
      <c r="AI710" s="59"/>
      <c r="AJ710" s="91"/>
      <c r="AK710" s="59"/>
      <c r="AO710" s="59"/>
    </row>
    <row r="711">
      <c r="P711" s="59"/>
      <c r="AB711" s="59"/>
      <c r="AD711" s="59"/>
      <c r="AI711" s="59"/>
      <c r="AJ711" s="91"/>
      <c r="AK711" s="59"/>
      <c r="AO711" s="59"/>
    </row>
    <row r="712">
      <c r="P712" s="59"/>
      <c r="AB712" s="59"/>
      <c r="AD712" s="59"/>
      <c r="AI712" s="59"/>
      <c r="AJ712" s="91"/>
      <c r="AK712" s="59"/>
      <c r="AO712" s="59"/>
    </row>
    <row r="713">
      <c r="P713" s="59"/>
      <c r="AB713" s="59"/>
      <c r="AD713" s="59"/>
      <c r="AI713" s="59"/>
      <c r="AJ713" s="91"/>
      <c r="AK713" s="59"/>
      <c r="AO713" s="59"/>
    </row>
    <row r="714">
      <c r="P714" s="59"/>
      <c r="AB714" s="59"/>
      <c r="AD714" s="59"/>
      <c r="AI714" s="59"/>
      <c r="AJ714" s="91"/>
      <c r="AK714" s="59"/>
      <c r="AO714" s="59"/>
    </row>
    <row r="715">
      <c r="P715" s="59"/>
      <c r="AB715" s="59"/>
      <c r="AD715" s="59"/>
      <c r="AI715" s="59"/>
      <c r="AJ715" s="91"/>
      <c r="AK715" s="59"/>
      <c r="AO715" s="59"/>
    </row>
    <row r="716">
      <c r="P716" s="59"/>
      <c r="AB716" s="59"/>
      <c r="AD716" s="59"/>
      <c r="AI716" s="59"/>
      <c r="AJ716" s="91"/>
      <c r="AK716" s="59"/>
      <c r="AO716" s="59"/>
    </row>
    <row r="717">
      <c r="P717" s="59"/>
      <c r="AB717" s="59"/>
      <c r="AD717" s="59"/>
      <c r="AI717" s="59"/>
      <c r="AJ717" s="91"/>
      <c r="AK717" s="59"/>
      <c r="AO717" s="59"/>
    </row>
    <row r="718">
      <c r="P718" s="59"/>
      <c r="AB718" s="59"/>
      <c r="AD718" s="59"/>
      <c r="AI718" s="59"/>
      <c r="AJ718" s="91"/>
      <c r="AK718" s="59"/>
      <c r="AO718" s="59"/>
    </row>
    <row r="719">
      <c r="P719" s="59"/>
      <c r="AB719" s="59"/>
      <c r="AD719" s="59"/>
      <c r="AI719" s="59"/>
      <c r="AJ719" s="91"/>
      <c r="AK719" s="59"/>
      <c r="AO719" s="59"/>
    </row>
    <row r="720">
      <c r="P720" s="59"/>
      <c r="AB720" s="59"/>
      <c r="AD720" s="59"/>
      <c r="AI720" s="59"/>
      <c r="AJ720" s="91"/>
      <c r="AK720" s="59"/>
      <c r="AO720" s="59"/>
    </row>
    <row r="721">
      <c r="P721" s="59"/>
      <c r="AB721" s="59"/>
      <c r="AD721" s="59"/>
      <c r="AI721" s="59"/>
      <c r="AJ721" s="91"/>
      <c r="AK721" s="59"/>
      <c r="AO721" s="59"/>
    </row>
    <row r="722">
      <c r="P722" s="59"/>
      <c r="AB722" s="59"/>
      <c r="AD722" s="59"/>
      <c r="AI722" s="59"/>
      <c r="AJ722" s="91"/>
      <c r="AK722" s="59"/>
      <c r="AO722" s="59"/>
    </row>
    <row r="723">
      <c r="P723" s="59"/>
      <c r="AB723" s="59"/>
      <c r="AD723" s="59"/>
      <c r="AI723" s="59"/>
      <c r="AJ723" s="91"/>
      <c r="AK723" s="59"/>
      <c r="AO723" s="59"/>
    </row>
    <row r="724">
      <c r="P724" s="59"/>
      <c r="AB724" s="59"/>
      <c r="AD724" s="59"/>
      <c r="AI724" s="59"/>
      <c r="AJ724" s="91"/>
      <c r="AK724" s="59"/>
      <c r="AO724" s="59"/>
    </row>
    <row r="725">
      <c r="P725" s="59"/>
      <c r="AB725" s="59"/>
      <c r="AD725" s="59"/>
      <c r="AI725" s="59"/>
      <c r="AJ725" s="91"/>
      <c r="AK725" s="59"/>
      <c r="AO725" s="59"/>
    </row>
    <row r="726">
      <c r="P726" s="59"/>
      <c r="AB726" s="59"/>
      <c r="AD726" s="59"/>
      <c r="AI726" s="59"/>
      <c r="AJ726" s="91"/>
      <c r="AK726" s="59"/>
      <c r="AO726" s="59"/>
    </row>
    <row r="727">
      <c r="P727" s="59"/>
      <c r="AB727" s="59"/>
      <c r="AD727" s="59"/>
      <c r="AI727" s="59"/>
      <c r="AJ727" s="91"/>
      <c r="AK727" s="59"/>
      <c r="AO727" s="59"/>
    </row>
    <row r="728">
      <c r="P728" s="59"/>
      <c r="AB728" s="59"/>
      <c r="AD728" s="59"/>
      <c r="AI728" s="59"/>
      <c r="AJ728" s="91"/>
      <c r="AK728" s="59"/>
      <c r="AO728" s="59"/>
    </row>
    <row r="729">
      <c r="P729" s="59"/>
      <c r="AB729" s="59"/>
      <c r="AD729" s="59"/>
      <c r="AI729" s="59"/>
      <c r="AJ729" s="91"/>
      <c r="AK729" s="59"/>
      <c r="AO729" s="59"/>
    </row>
    <row r="730">
      <c r="P730" s="59"/>
      <c r="AB730" s="59"/>
      <c r="AD730" s="59"/>
      <c r="AI730" s="59"/>
      <c r="AJ730" s="91"/>
      <c r="AK730" s="59"/>
      <c r="AO730" s="59"/>
    </row>
    <row r="731">
      <c r="P731" s="59"/>
      <c r="AB731" s="59"/>
      <c r="AD731" s="59"/>
      <c r="AI731" s="59"/>
      <c r="AJ731" s="91"/>
      <c r="AK731" s="59"/>
      <c r="AO731" s="59"/>
    </row>
    <row r="732">
      <c r="P732" s="59"/>
      <c r="AB732" s="59"/>
      <c r="AD732" s="59"/>
      <c r="AI732" s="59"/>
      <c r="AJ732" s="91"/>
      <c r="AK732" s="59"/>
      <c r="AO732" s="59"/>
    </row>
    <row r="733">
      <c r="P733" s="59"/>
      <c r="AB733" s="59"/>
      <c r="AD733" s="59"/>
      <c r="AI733" s="59"/>
      <c r="AJ733" s="91"/>
      <c r="AK733" s="59"/>
      <c r="AO733" s="59"/>
    </row>
    <row r="734">
      <c r="P734" s="59"/>
      <c r="AB734" s="59"/>
      <c r="AD734" s="59"/>
      <c r="AI734" s="59"/>
      <c r="AJ734" s="91"/>
      <c r="AK734" s="59"/>
      <c r="AO734" s="59"/>
    </row>
    <row r="735">
      <c r="P735" s="59"/>
      <c r="AB735" s="59"/>
      <c r="AD735" s="59"/>
      <c r="AI735" s="59"/>
      <c r="AJ735" s="91"/>
      <c r="AK735" s="59"/>
      <c r="AO735" s="59"/>
    </row>
    <row r="736">
      <c r="P736" s="59"/>
      <c r="AB736" s="59"/>
      <c r="AD736" s="59"/>
      <c r="AI736" s="59"/>
      <c r="AJ736" s="91"/>
      <c r="AK736" s="59"/>
      <c r="AO736" s="59"/>
    </row>
    <row r="737">
      <c r="P737" s="59"/>
      <c r="AB737" s="59"/>
      <c r="AD737" s="59"/>
      <c r="AI737" s="59"/>
      <c r="AJ737" s="91"/>
      <c r="AK737" s="59"/>
      <c r="AO737" s="59"/>
    </row>
    <row r="738">
      <c r="P738" s="59"/>
      <c r="AB738" s="59"/>
      <c r="AD738" s="59"/>
      <c r="AI738" s="59"/>
      <c r="AJ738" s="91"/>
      <c r="AK738" s="59"/>
      <c r="AO738" s="59"/>
    </row>
    <row r="739">
      <c r="P739" s="59"/>
      <c r="AB739" s="59"/>
      <c r="AD739" s="59"/>
      <c r="AI739" s="59"/>
      <c r="AJ739" s="91"/>
      <c r="AK739" s="59"/>
      <c r="AO739" s="59"/>
    </row>
    <row r="740">
      <c r="P740" s="59"/>
      <c r="AB740" s="59"/>
      <c r="AD740" s="59"/>
      <c r="AI740" s="59"/>
      <c r="AJ740" s="91"/>
      <c r="AK740" s="59"/>
      <c r="AO740" s="59"/>
    </row>
    <row r="741">
      <c r="P741" s="59"/>
      <c r="AB741" s="59"/>
      <c r="AD741" s="59"/>
      <c r="AI741" s="59"/>
      <c r="AJ741" s="91"/>
      <c r="AK741" s="59"/>
      <c r="AO741" s="59"/>
    </row>
    <row r="742">
      <c r="P742" s="59"/>
      <c r="AB742" s="59"/>
      <c r="AD742" s="59"/>
      <c r="AI742" s="59"/>
      <c r="AJ742" s="91"/>
      <c r="AK742" s="59"/>
      <c r="AO742" s="59"/>
    </row>
    <row r="743">
      <c r="P743" s="59"/>
      <c r="AB743" s="59"/>
      <c r="AD743" s="59"/>
      <c r="AI743" s="59"/>
      <c r="AJ743" s="91"/>
      <c r="AK743" s="59"/>
      <c r="AO743" s="59"/>
    </row>
    <row r="744">
      <c r="P744" s="59"/>
      <c r="AB744" s="59"/>
      <c r="AD744" s="59"/>
      <c r="AI744" s="59"/>
      <c r="AJ744" s="91"/>
      <c r="AK744" s="59"/>
      <c r="AO744" s="59"/>
    </row>
    <row r="745">
      <c r="P745" s="59"/>
      <c r="AB745" s="59"/>
      <c r="AD745" s="59"/>
      <c r="AI745" s="59"/>
      <c r="AJ745" s="91"/>
      <c r="AK745" s="59"/>
      <c r="AO745" s="59"/>
    </row>
    <row r="746">
      <c r="P746" s="59"/>
      <c r="AB746" s="59"/>
      <c r="AD746" s="59"/>
      <c r="AI746" s="59"/>
      <c r="AJ746" s="91"/>
      <c r="AK746" s="59"/>
      <c r="AO746" s="59"/>
    </row>
    <row r="747">
      <c r="P747" s="59"/>
      <c r="AB747" s="59"/>
      <c r="AD747" s="59"/>
      <c r="AI747" s="59"/>
      <c r="AJ747" s="91"/>
      <c r="AK747" s="59"/>
      <c r="AO747" s="59"/>
    </row>
    <row r="748">
      <c r="P748" s="59"/>
      <c r="AB748" s="59"/>
      <c r="AD748" s="59"/>
      <c r="AI748" s="59"/>
      <c r="AJ748" s="91"/>
      <c r="AK748" s="59"/>
      <c r="AO748" s="59"/>
    </row>
    <row r="749">
      <c r="P749" s="59"/>
      <c r="AB749" s="59"/>
      <c r="AD749" s="59"/>
      <c r="AI749" s="59"/>
      <c r="AJ749" s="91"/>
      <c r="AK749" s="59"/>
      <c r="AO749" s="59"/>
    </row>
    <row r="750">
      <c r="P750" s="59"/>
      <c r="AB750" s="59"/>
      <c r="AD750" s="59"/>
      <c r="AI750" s="59"/>
      <c r="AJ750" s="91"/>
      <c r="AK750" s="59"/>
      <c r="AO750" s="59"/>
    </row>
    <row r="751">
      <c r="P751" s="59"/>
      <c r="AB751" s="59"/>
      <c r="AD751" s="59"/>
      <c r="AI751" s="59"/>
      <c r="AJ751" s="91"/>
      <c r="AK751" s="59"/>
      <c r="AO751" s="59"/>
    </row>
    <row r="752">
      <c r="P752" s="59"/>
      <c r="AB752" s="59"/>
      <c r="AD752" s="59"/>
      <c r="AI752" s="59"/>
      <c r="AJ752" s="91"/>
      <c r="AK752" s="59"/>
      <c r="AO752" s="59"/>
    </row>
    <row r="753">
      <c r="P753" s="59"/>
      <c r="AB753" s="59"/>
      <c r="AD753" s="59"/>
      <c r="AI753" s="59"/>
      <c r="AJ753" s="91"/>
      <c r="AK753" s="59"/>
      <c r="AO753" s="59"/>
    </row>
    <row r="754">
      <c r="P754" s="59"/>
      <c r="AB754" s="59"/>
      <c r="AD754" s="59"/>
      <c r="AI754" s="59"/>
      <c r="AJ754" s="91"/>
      <c r="AK754" s="59"/>
      <c r="AO754" s="59"/>
    </row>
    <row r="755">
      <c r="P755" s="59"/>
      <c r="AB755" s="59"/>
      <c r="AD755" s="59"/>
      <c r="AI755" s="59"/>
      <c r="AJ755" s="91"/>
      <c r="AK755" s="59"/>
      <c r="AO755" s="59"/>
    </row>
    <row r="756">
      <c r="P756" s="59"/>
      <c r="AB756" s="59"/>
      <c r="AD756" s="59"/>
      <c r="AI756" s="59"/>
      <c r="AJ756" s="91"/>
      <c r="AK756" s="59"/>
      <c r="AO756" s="59"/>
    </row>
    <row r="757">
      <c r="P757" s="59"/>
      <c r="AB757" s="59"/>
      <c r="AD757" s="59"/>
      <c r="AI757" s="59"/>
      <c r="AJ757" s="91"/>
      <c r="AK757" s="59"/>
      <c r="AO757" s="59"/>
    </row>
    <row r="758">
      <c r="P758" s="59"/>
      <c r="AB758" s="59"/>
      <c r="AD758" s="59"/>
      <c r="AI758" s="59"/>
      <c r="AJ758" s="91"/>
      <c r="AK758" s="59"/>
      <c r="AO758" s="59"/>
    </row>
    <row r="759">
      <c r="P759" s="59"/>
      <c r="AB759" s="59"/>
      <c r="AD759" s="59"/>
      <c r="AI759" s="59"/>
      <c r="AJ759" s="91"/>
      <c r="AK759" s="59"/>
      <c r="AO759" s="59"/>
    </row>
    <row r="760">
      <c r="P760" s="59"/>
      <c r="AB760" s="59"/>
      <c r="AD760" s="59"/>
      <c r="AI760" s="59"/>
      <c r="AJ760" s="91"/>
      <c r="AK760" s="59"/>
      <c r="AO760" s="59"/>
    </row>
    <row r="761">
      <c r="P761" s="59"/>
      <c r="AB761" s="59"/>
      <c r="AD761" s="59"/>
      <c r="AI761" s="59"/>
      <c r="AJ761" s="91"/>
      <c r="AK761" s="59"/>
      <c r="AO761" s="59"/>
    </row>
    <row r="762">
      <c r="P762" s="59"/>
      <c r="AB762" s="59"/>
      <c r="AD762" s="59"/>
      <c r="AI762" s="59"/>
      <c r="AJ762" s="91"/>
      <c r="AK762" s="59"/>
      <c r="AO762" s="59"/>
    </row>
    <row r="763">
      <c r="P763" s="59"/>
      <c r="AB763" s="59"/>
      <c r="AD763" s="59"/>
      <c r="AI763" s="59"/>
      <c r="AJ763" s="91"/>
      <c r="AK763" s="59"/>
      <c r="AO763" s="59"/>
    </row>
    <row r="764">
      <c r="P764" s="59"/>
      <c r="AB764" s="59"/>
      <c r="AD764" s="59"/>
      <c r="AI764" s="59"/>
      <c r="AJ764" s="91"/>
      <c r="AK764" s="59"/>
      <c r="AO764" s="59"/>
    </row>
    <row r="765">
      <c r="P765" s="59"/>
      <c r="AB765" s="59"/>
      <c r="AD765" s="59"/>
      <c r="AI765" s="59"/>
      <c r="AJ765" s="91"/>
      <c r="AK765" s="59"/>
      <c r="AO765" s="59"/>
    </row>
    <row r="766">
      <c r="P766" s="59"/>
      <c r="AB766" s="59"/>
      <c r="AD766" s="59"/>
      <c r="AI766" s="59"/>
      <c r="AJ766" s="91"/>
      <c r="AK766" s="59"/>
      <c r="AO766" s="59"/>
    </row>
    <row r="767">
      <c r="P767" s="59"/>
      <c r="AB767" s="59"/>
      <c r="AD767" s="59"/>
      <c r="AI767" s="59"/>
      <c r="AJ767" s="91"/>
      <c r="AK767" s="59"/>
      <c r="AO767" s="59"/>
    </row>
    <row r="768">
      <c r="P768" s="59"/>
      <c r="AB768" s="59"/>
      <c r="AD768" s="59"/>
      <c r="AI768" s="59"/>
      <c r="AJ768" s="91"/>
      <c r="AK768" s="59"/>
      <c r="AO768" s="59"/>
    </row>
    <row r="769">
      <c r="P769" s="59"/>
      <c r="AB769" s="59"/>
      <c r="AD769" s="59"/>
      <c r="AI769" s="59"/>
      <c r="AJ769" s="91"/>
      <c r="AK769" s="59"/>
      <c r="AO769" s="59"/>
    </row>
    <row r="770">
      <c r="P770" s="59"/>
      <c r="AB770" s="59"/>
      <c r="AD770" s="59"/>
      <c r="AI770" s="59"/>
      <c r="AJ770" s="91"/>
      <c r="AK770" s="59"/>
      <c r="AO770" s="59"/>
    </row>
    <row r="771">
      <c r="P771" s="59"/>
      <c r="AB771" s="59"/>
      <c r="AD771" s="59"/>
      <c r="AI771" s="59"/>
      <c r="AJ771" s="91"/>
      <c r="AK771" s="59"/>
      <c r="AO771" s="59"/>
    </row>
    <row r="772">
      <c r="P772" s="59"/>
      <c r="AB772" s="59"/>
      <c r="AD772" s="59"/>
      <c r="AI772" s="59"/>
      <c r="AJ772" s="91"/>
      <c r="AK772" s="59"/>
      <c r="AO772" s="59"/>
    </row>
    <row r="773">
      <c r="P773" s="59"/>
      <c r="AB773" s="59"/>
      <c r="AD773" s="59"/>
      <c r="AI773" s="59"/>
      <c r="AJ773" s="91"/>
      <c r="AK773" s="59"/>
      <c r="AO773" s="59"/>
    </row>
    <row r="774">
      <c r="P774" s="59"/>
      <c r="AB774" s="59"/>
      <c r="AD774" s="59"/>
      <c r="AI774" s="59"/>
      <c r="AJ774" s="91"/>
      <c r="AK774" s="59"/>
      <c r="AO774" s="59"/>
    </row>
    <row r="775">
      <c r="P775" s="59"/>
      <c r="AB775" s="59"/>
      <c r="AD775" s="59"/>
      <c r="AI775" s="59"/>
      <c r="AJ775" s="91"/>
      <c r="AK775" s="59"/>
      <c r="AO775" s="59"/>
    </row>
    <row r="776">
      <c r="P776" s="59"/>
      <c r="AB776" s="59"/>
      <c r="AD776" s="59"/>
      <c r="AI776" s="59"/>
      <c r="AJ776" s="91"/>
      <c r="AK776" s="59"/>
      <c r="AO776" s="59"/>
    </row>
    <row r="777">
      <c r="P777" s="59"/>
      <c r="AB777" s="59"/>
      <c r="AD777" s="59"/>
      <c r="AI777" s="59"/>
      <c r="AJ777" s="91"/>
      <c r="AK777" s="59"/>
      <c r="AO777" s="59"/>
    </row>
    <row r="778">
      <c r="P778" s="59"/>
      <c r="AB778" s="59"/>
      <c r="AD778" s="59"/>
      <c r="AI778" s="59"/>
      <c r="AJ778" s="91"/>
      <c r="AK778" s="59"/>
      <c r="AO778" s="59"/>
    </row>
    <row r="779">
      <c r="P779" s="59"/>
      <c r="AB779" s="59"/>
      <c r="AD779" s="59"/>
      <c r="AI779" s="59"/>
      <c r="AJ779" s="91"/>
      <c r="AK779" s="59"/>
      <c r="AO779" s="59"/>
    </row>
    <row r="780">
      <c r="P780" s="59"/>
      <c r="AB780" s="59"/>
      <c r="AD780" s="59"/>
      <c r="AI780" s="59"/>
      <c r="AJ780" s="91"/>
      <c r="AK780" s="59"/>
      <c r="AO780" s="59"/>
    </row>
    <row r="781">
      <c r="P781" s="59"/>
      <c r="AB781" s="59"/>
      <c r="AD781" s="59"/>
      <c r="AI781" s="59"/>
      <c r="AJ781" s="91"/>
      <c r="AK781" s="59"/>
      <c r="AO781" s="59"/>
    </row>
    <row r="782">
      <c r="P782" s="59"/>
      <c r="AB782" s="59"/>
      <c r="AD782" s="59"/>
      <c r="AI782" s="59"/>
      <c r="AJ782" s="91"/>
      <c r="AK782" s="59"/>
      <c r="AO782" s="59"/>
    </row>
    <row r="783">
      <c r="P783" s="59"/>
      <c r="AB783" s="59"/>
      <c r="AD783" s="59"/>
      <c r="AI783" s="59"/>
      <c r="AJ783" s="91"/>
      <c r="AK783" s="59"/>
      <c r="AO783" s="59"/>
    </row>
    <row r="784">
      <c r="P784" s="59"/>
      <c r="AB784" s="59"/>
      <c r="AD784" s="59"/>
      <c r="AI784" s="59"/>
      <c r="AJ784" s="91"/>
      <c r="AK784" s="59"/>
      <c r="AO784" s="59"/>
    </row>
    <row r="785">
      <c r="P785" s="59"/>
      <c r="AB785" s="59"/>
      <c r="AD785" s="59"/>
      <c r="AI785" s="59"/>
      <c r="AJ785" s="91"/>
      <c r="AK785" s="59"/>
      <c r="AO785" s="59"/>
    </row>
    <row r="786">
      <c r="P786" s="59"/>
      <c r="AB786" s="59"/>
      <c r="AD786" s="59"/>
      <c r="AI786" s="59"/>
      <c r="AJ786" s="91"/>
      <c r="AK786" s="59"/>
      <c r="AO786" s="59"/>
    </row>
    <row r="787">
      <c r="P787" s="59"/>
      <c r="AB787" s="59"/>
      <c r="AD787" s="59"/>
      <c r="AI787" s="59"/>
      <c r="AJ787" s="91"/>
      <c r="AK787" s="59"/>
      <c r="AO787" s="59"/>
    </row>
    <row r="788">
      <c r="P788" s="59"/>
      <c r="AB788" s="59"/>
      <c r="AD788" s="59"/>
      <c r="AI788" s="59"/>
      <c r="AJ788" s="91"/>
      <c r="AK788" s="59"/>
      <c r="AO788" s="59"/>
    </row>
    <row r="789">
      <c r="P789" s="59"/>
      <c r="AB789" s="59"/>
      <c r="AD789" s="59"/>
      <c r="AI789" s="59"/>
      <c r="AJ789" s="91"/>
      <c r="AK789" s="59"/>
      <c r="AO789" s="59"/>
    </row>
    <row r="790">
      <c r="P790" s="59"/>
      <c r="AB790" s="59"/>
      <c r="AD790" s="59"/>
      <c r="AI790" s="59"/>
      <c r="AJ790" s="91"/>
      <c r="AK790" s="59"/>
      <c r="AO790" s="59"/>
    </row>
    <row r="791">
      <c r="P791" s="59"/>
      <c r="AB791" s="59"/>
      <c r="AD791" s="59"/>
      <c r="AI791" s="59"/>
      <c r="AJ791" s="91"/>
      <c r="AK791" s="59"/>
      <c r="AO791" s="59"/>
    </row>
    <row r="792">
      <c r="P792" s="59"/>
      <c r="AB792" s="59"/>
      <c r="AD792" s="59"/>
      <c r="AI792" s="59"/>
      <c r="AJ792" s="91"/>
      <c r="AK792" s="59"/>
      <c r="AO792" s="59"/>
    </row>
    <row r="793">
      <c r="P793" s="59"/>
      <c r="AB793" s="59"/>
      <c r="AD793" s="59"/>
      <c r="AI793" s="59"/>
      <c r="AJ793" s="91"/>
      <c r="AK793" s="59"/>
      <c r="AO793" s="59"/>
    </row>
    <row r="794">
      <c r="P794" s="59"/>
      <c r="AB794" s="59"/>
      <c r="AD794" s="59"/>
      <c r="AI794" s="59"/>
      <c r="AJ794" s="91"/>
      <c r="AK794" s="59"/>
      <c r="AO794" s="59"/>
    </row>
    <row r="795">
      <c r="P795" s="59"/>
      <c r="AB795" s="59"/>
      <c r="AD795" s="59"/>
      <c r="AI795" s="59"/>
      <c r="AJ795" s="91"/>
      <c r="AK795" s="59"/>
      <c r="AO795" s="59"/>
    </row>
    <row r="796">
      <c r="P796" s="59"/>
      <c r="AB796" s="59"/>
      <c r="AD796" s="59"/>
      <c r="AI796" s="59"/>
      <c r="AJ796" s="91"/>
      <c r="AK796" s="59"/>
      <c r="AO796" s="59"/>
    </row>
    <row r="797">
      <c r="P797" s="59"/>
      <c r="AB797" s="59"/>
      <c r="AD797" s="59"/>
      <c r="AI797" s="59"/>
      <c r="AJ797" s="91"/>
      <c r="AK797" s="59"/>
      <c r="AO797" s="59"/>
    </row>
    <row r="798">
      <c r="P798" s="59"/>
      <c r="AB798" s="59"/>
      <c r="AD798" s="59"/>
      <c r="AI798" s="59"/>
      <c r="AJ798" s="91"/>
      <c r="AK798" s="59"/>
      <c r="AO798" s="59"/>
    </row>
    <row r="799">
      <c r="P799" s="59"/>
      <c r="AB799" s="59"/>
      <c r="AD799" s="59"/>
      <c r="AI799" s="59"/>
      <c r="AJ799" s="91"/>
      <c r="AK799" s="59"/>
      <c r="AO799" s="59"/>
    </row>
    <row r="800">
      <c r="P800" s="59"/>
      <c r="AB800" s="59"/>
      <c r="AD800" s="59"/>
      <c r="AI800" s="59"/>
      <c r="AJ800" s="91"/>
      <c r="AK800" s="59"/>
      <c r="AO800" s="59"/>
    </row>
    <row r="801">
      <c r="P801" s="59"/>
      <c r="AB801" s="59"/>
      <c r="AD801" s="59"/>
      <c r="AI801" s="59"/>
      <c r="AJ801" s="91"/>
      <c r="AK801" s="59"/>
      <c r="AO801" s="59"/>
    </row>
    <row r="802">
      <c r="P802" s="59"/>
      <c r="AB802" s="59"/>
      <c r="AD802" s="59"/>
      <c r="AI802" s="59"/>
      <c r="AJ802" s="91"/>
      <c r="AK802" s="59"/>
      <c r="AO802" s="59"/>
    </row>
    <row r="803">
      <c r="P803" s="59"/>
      <c r="AB803" s="59"/>
      <c r="AD803" s="59"/>
      <c r="AI803" s="59"/>
      <c r="AJ803" s="91"/>
      <c r="AK803" s="59"/>
      <c r="AO803" s="59"/>
    </row>
    <row r="804">
      <c r="P804" s="59"/>
      <c r="AB804" s="59"/>
      <c r="AD804" s="59"/>
      <c r="AI804" s="59"/>
      <c r="AJ804" s="91"/>
      <c r="AK804" s="59"/>
      <c r="AO804" s="59"/>
    </row>
    <row r="805">
      <c r="P805" s="59"/>
      <c r="AB805" s="59"/>
      <c r="AD805" s="59"/>
      <c r="AI805" s="59"/>
      <c r="AJ805" s="91"/>
      <c r="AK805" s="59"/>
      <c r="AO805" s="59"/>
    </row>
    <row r="806">
      <c r="P806" s="59"/>
      <c r="AB806" s="59"/>
      <c r="AD806" s="59"/>
      <c r="AI806" s="59"/>
      <c r="AJ806" s="91"/>
      <c r="AK806" s="59"/>
      <c r="AO806" s="59"/>
    </row>
    <row r="807">
      <c r="P807" s="59"/>
      <c r="AB807" s="59"/>
      <c r="AD807" s="59"/>
      <c r="AI807" s="59"/>
      <c r="AJ807" s="91"/>
      <c r="AK807" s="59"/>
      <c r="AO807" s="59"/>
    </row>
    <row r="808">
      <c r="P808" s="59"/>
      <c r="AB808" s="59"/>
      <c r="AD808" s="59"/>
      <c r="AI808" s="59"/>
      <c r="AJ808" s="91"/>
      <c r="AK808" s="59"/>
      <c r="AO808" s="59"/>
    </row>
    <row r="809">
      <c r="P809" s="59"/>
      <c r="AB809" s="59"/>
      <c r="AD809" s="59"/>
      <c r="AI809" s="59"/>
      <c r="AJ809" s="91"/>
      <c r="AK809" s="59"/>
      <c r="AO809" s="59"/>
    </row>
    <row r="810">
      <c r="P810" s="59"/>
      <c r="AB810" s="59"/>
      <c r="AD810" s="59"/>
      <c r="AI810" s="59"/>
      <c r="AJ810" s="91"/>
      <c r="AK810" s="59"/>
      <c r="AO810" s="59"/>
    </row>
    <row r="811">
      <c r="P811" s="59"/>
      <c r="AB811" s="59"/>
      <c r="AD811" s="59"/>
      <c r="AI811" s="59"/>
      <c r="AJ811" s="91"/>
      <c r="AK811" s="59"/>
      <c r="AO811" s="59"/>
    </row>
    <row r="812">
      <c r="P812" s="59"/>
      <c r="AB812" s="59"/>
      <c r="AD812" s="59"/>
      <c r="AI812" s="59"/>
      <c r="AJ812" s="91"/>
      <c r="AK812" s="59"/>
      <c r="AO812" s="59"/>
    </row>
    <row r="813">
      <c r="P813" s="59"/>
      <c r="AB813" s="59"/>
      <c r="AD813" s="59"/>
      <c r="AI813" s="59"/>
      <c r="AJ813" s="91"/>
      <c r="AK813" s="59"/>
      <c r="AO813" s="59"/>
    </row>
    <row r="814">
      <c r="P814" s="59"/>
      <c r="AB814" s="59"/>
      <c r="AD814" s="59"/>
      <c r="AI814" s="59"/>
      <c r="AJ814" s="91"/>
      <c r="AK814" s="59"/>
      <c r="AO814" s="59"/>
    </row>
    <row r="815">
      <c r="P815" s="59"/>
      <c r="AB815" s="59"/>
      <c r="AD815" s="59"/>
      <c r="AI815" s="59"/>
      <c r="AJ815" s="91"/>
      <c r="AK815" s="59"/>
      <c r="AO815" s="59"/>
    </row>
    <row r="816">
      <c r="P816" s="59"/>
      <c r="AB816" s="59"/>
      <c r="AD816" s="59"/>
      <c r="AI816" s="59"/>
      <c r="AJ816" s="91"/>
      <c r="AK816" s="59"/>
      <c r="AO816" s="59"/>
    </row>
    <row r="817">
      <c r="P817" s="59"/>
      <c r="AB817" s="59"/>
      <c r="AD817" s="59"/>
      <c r="AI817" s="59"/>
      <c r="AJ817" s="91"/>
      <c r="AK817" s="59"/>
      <c r="AO817" s="59"/>
    </row>
    <row r="818">
      <c r="P818" s="59"/>
      <c r="AB818" s="59"/>
      <c r="AD818" s="59"/>
      <c r="AI818" s="59"/>
      <c r="AJ818" s="91"/>
      <c r="AK818" s="59"/>
      <c r="AO818" s="59"/>
    </row>
    <row r="819">
      <c r="P819" s="59"/>
      <c r="AB819" s="59"/>
      <c r="AD819" s="59"/>
      <c r="AI819" s="59"/>
      <c r="AJ819" s="91"/>
      <c r="AK819" s="59"/>
      <c r="AO819" s="59"/>
    </row>
    <row r="820">
      <c r="P820" s="59"/>
      <c r="AB820" s="59"/>
      <c r="AD820" s="59"/>
      <c r="AI820" s="59"/>
      <c r="AJ820" s="91"/>
      <c r="AK820" s="59"/>
      <c r="AO820" s="59"/>
    </row>
    <row r="821">
      <c r="P821" s="59"/>
      <c r="AB821" s="59"/>
      <c r="AD821" s="59"/>
      <c r="AI821" s="59"/>
      <c r="AJ821" s="91"/>
      <c r="AK821" s="59"/>
      <c r="AO821" s="59"/>
    </row>
    <row r="822">
      <c r="P822" s="59"/>
      <c r="AB822" s="59"/>
      <c r="AD822" s="59"/>
      <c r="AI822" s="59"/>
      <c r="AJ822" s="91"/>
      <c r="AK822" s="59"/>
      <c r="AO822" s="59"/>
    </row>
    <row r="823">
      <c r="P823" s="59"/>
      <c r="AB823" s="59"/>
      <c r="AD823" s="59"/>
      <c r="AI823" s="59"/>
      <c r="AJ823" s="91"/>
      <c r="AK823" s="59"/>
      <c r="AO823" s="59"/>
    </row>
    <row r="824">
      <c r="P824" s="59"/>
      <c r="AB824" s="59"/>
      <c r="AD824" s="59"/>
      <c r="AI824" s="59"/>
      <c r="AJ824" s="91"/>
      <c r="AK824" s="59"/>
      <c r="AO824" s="59"/>
    </row>
    <row r="825">
      <c r="P825" s="59"/>
      <c r="AB825" s="59"/>
      <c r="AD825" s="59"/>
      <c r="AI825" s="59"/>
      <c r="AJ825" s="91"/>
      <c r="AK825" s="59"/>
      <c r="AO825" s="59"/>
    </row>
    <row r="826">
      <c r="P826" s="59"/>
      <c r="AB826" s="59"/>
      <c r="AD826" s="59"/>
      <c r="AI826" s="59"/>
      <c r="AJ826" s="91"/>
      <c r="AK826" s="59"/>
      <c r="AO826" s="59"/>
    </row>
    <row r="827">
      <c r="P827" s="59"/>
      <c r="AB827" s="59"/>
      <c r="AD827" s="59"/>
      <c r="AI827" s="59"/>
      <c r="AJ827" s="91"/>
      <c r="AK827" s="59"/>
      <c r="AO827" s="59"/>
    </row>
    <row r="828">
      <c r="P828" s="59"/>
      <c r="AB828" s="59"/>
      <c r="AD828" s="59"/>
      <c r="AI828" s="59"/>
      <c r="AJ828" s="91"/>
      <c r="AK828" s="59"/>
      <c r="AO828" s="59"/>
    </row>
    <row r="829">
      <c r="P829" s="59"/>
      <c r="AB829" s="59"/>
      <c r="AD829" s="59"/>
      <c r="AI829" s="59"/>
      <c r="AJ829" s="91"/>
      <c r="AK829" s="59"/>
      <c r="AO829" s="59"/>
    </row>
    <row r="830">
      <c r="P830" s="59"/>
      <c r="AB830" s="59"/>
      <c r="AD830" s="59"/>
      <c r="AI830" s="59"/>
      <c r="AJ830" s="91"/>
      <c r="AK830" s="59"/>
      <c r="AO830" s="59"/>
    </row>
    <row r="831">
      <c r="P831" s="59"/>
      <c r="AB831" s="59"/>
      <c r="AD831" s="59"/>
      <c r="AI831" s="59"/>
      <c r="AJ831" s="91"/>
      <c r="AK831" s="59"/>
      <c r="AO831" s="59"/>
    </row>
    <row r="832">
      <c r="P832" s="59"/>
      <c r="AB832" s="59"/>
      <c r="AD832" s="59"/>
      <c r="AI832" s="59"/>
      <c r="AJ832" s="91"/>
      <c r="AK832" s="59"/>
      <c r="AO832" s="59"/>
    </row>
    <row r="833">
      <c r="P833" s="59"/>
      <c r="AB833" s="59"/>
      <c r="AD833" s="59"/>
      <c r="AI833" s="59"/>
      <c r="AJ833" s="91"/>
      <c r="AK833" s="59"/>
      <c r="AO833" s="59"/>
    </row>
    <row r="834">
      <c r="P834" s="59"/>
      <c r="AB834" s="59"/>
      <c r="AD834" s="59"/>
      <c r="AI834" s="59"/>
      <c r="AJ834" s="91"/>
      <c r="AK834" s="59"/>
      <c r="AO834" s="59"/>
    </row>
    <row r="835">
      <c r="P835" s="59"/>
      <c r="AB835" s="59"/>
      <c r="AD835" s="59"/>
      <c r="AI835" s="59"/>
      <c r="AJ835" s="91"/>
      <c r="AK835" s="59"/>
      <c r="AO835" s="59"/>
    </row>
    <row r="836">
      <c r="P836" s="59"/>
      <c r="AB836" s="59"/>
      <c r="AD836" s="59"/>
      <c r="AI836" s="59"/>
      <c r="AJ836" s="91"/>
      <c r="AK836" s="59"/>
      <c r="AO836" s="59"/>
    </row>
    <row r="837">
      <c r="P837" s="59"/>
      <c r="AB837" s="59"/>
      <c r="AD837" s="59"/>
      <c r="AI837" s="59"/>
      <c r="AJ837" s="91"/>
      <c r="AK837" s="59"/>
      <c r="AO837" s="59"/>
    </row>
    <row r="838">
      <c r="P838" s="59"/>
      <c r="AB838" s="59"/>
      <c r="AD838" s="59"/>
      <c r="AI838" s="59"/>
      <c r="AJ838" s="91"/>
      <c r="AK838" s="59"/>
      <c r="AO838" s="59"/>
    </row>
    <row r="839">
      <c r="P839" s="59"/>
      <c r="AB839" s="59"/>
      <c r="AD839" s="59"/>
      <c r="AI839" s="59"/>
      <c r="AJ839" s="91"/>
      <c r="AK839" s="59"/>
      <c r="AO839" s="59"/>
    </row>
    <row r="840">
      <c r="P840" s="59"/>
      <c r="AB840" s="59"/>
      <c r="AD840" s="59"/>
      <c r="AI840" s="59"/>
      <c r="AJ840" s="91"/>
      <c r="AK840" s="59"/>
      <c r="AO840" s="59"/>
    </row>
    <row r="841">
      <c r="P841" s="59"/>
      <c r="AB841" s="59"/>
      <c r="AD841" s="59"/>
      <c r="AI841" s="59"/>
      <c r="AJ841" s="91"/>
      <c r="AK841" s="59"/>
      <c r="AO841" s="59"/>
    </row>
    <row r="842">
      <c r="P842" s="59"/>
      <c r="AB842" s="59"/>
      <c r="AD842" s="59"/>
      <c r="AI842" s="59"/>
      <c r="AJ842" s="91"/>
      <c r="AK842" s="59"/>
      <c r="AO842" s="59"/>
    </row>
    <row r="843">
      <c r="P843" s="59"/>
      <c r="AB843" s="59"/>
      <c r="AD843" s="59"/>
      <c r="AI843" s="59"/>
      <c r="AJ843" s="91"/>
      <c r="AK843" s="59"/>
      <c r="AO843" s="59"/>
    </row>
    <row r="844">
      <c r="P844" s="59"/>
      <c r="AB844" s="59"/>
      <c r="AD844" s="59"/>
      <c r="AI844" s="59"/>
      <c r="AJ844" s="91"/>
      <c r="AK844" s="59"/>
      <c r="AO844" s="59"/>
    </row>
    <row r="845">
      <c r="P845" s="59"/>
      <c r="AB845" s="59"/>
      <c r="AD845" s="59"/>
      <c r="AI845" s="59"/>
      <c r="AJ845" s="91"/>
      <c r="AK845" s="59"/>
      <c r="AO845" s="59"/>
    </row>
    <row r="846">
      <c r="P846" s="59"/>
      <c r="AB846" s="59"/>
      <c r="AD846" s="59"/>
      <c r="AI846" s="59"/>
      <c r="AJ846" s="91"/>
      <c r="AK846" s="59"/>
      <c r="AO846" s="59"/>
    </row>
    <row r="847">
      <c r="P847" s="59"/>
      <c r="AB847" s="59"/>
      <c r="AD847" s="59"/>
      <c r="AI847" s="59"/>
      <c r="AJ847" s="91"/>
      <c r="AK847" s="59"/>
      <c r="AO847" s="59"/>
    </row>
    <row r="848">
      <c r="P848" s="59"/>
      <c r="AB848" s="59"/>
      <c r="AD848" s="59"/>
      <c r="AI848" s="59"/>
      <c r="AJ848" s="91"/>
      <c r="AK848" s="59"/>
      <c r="AO848" s="59"/>
    </row>
    <row r="849">
      <c r="P849" s="59"/>
      <c r="AB849" s="59"/>
      <c r="AD849" s="59"/>
      <c r="AI849" s="59"/>
      <c r="AJ849" s="91"/>
      <c r="AK849" s="59"/>
      <c r="AO849" s="59"/>
    </row>
    <row r="850">
      <c r="P850" s="59"/>
      <c r="AB850" s="59"/>
      <c r="AD850" s="59"/>
      <c r="AI850" s="59"/>
      <c r="AJ850" s="91"/>
      <c r="AK850" s="59"/>
      <c r="AO850" s="59"/>
    </row>
    <row r="851">
      <c r="P851" s="59"/>
      <c r="AB851" s="59"/>
      <c r="AD851" s="59"/>
      <c r="AI851" s="59"/>
      <c r="AJ851" s="91"/>
      <c r="AK851" s="59"/>
      <c r="AO851" s="59"/>
    </row>
    <row r="852">
      <c r="P852" s="59"/>
      <c r="AB852" s="59"/>
      <c r="AD852" s="59"/>
      <c r="AI852" s="59"/>
      <c r="AJ852" s="91"/>
      <c r="AK852" s="59"/>
      <c r="AO852" s="59"/>
    </row>
    <row r="853">
      <c r="P853" s="59"/>
      <c r="AB853" s="59"/>
      <c r="AD853" s="59"/>
      <c r="AI853" s="59"/>
      <c r="AJ853" s="91"/>
      <c r="AK853" s="59"/>
      <c r="AO853" s="59"/>
    </row>
    <row r="854">
      <c r="P854" s="59"/>
      <c r="AB854" s="59"/>
      <c r="AD854" s="59"/>
      <c r="AI854" s="59"/>
      <c r="AJ854" s="91"/>
      <c r="AK854" s="59"/>
      <c r="AO854" s="59"/>
    </row>
    <row r="855">
      <c r="P855" s="59"/>
      <c r="AB855" s="59"/>
      <c r="AD855" s="59"/>
      <c r="AI855" s="59"/>
      <c r="AJ855" s="91"/>
      <c r="AK855" s="59"/>
      <c r="AO855" s="59"/>
    </row>
    <row r="856">
      <c r="P856" s="59"/>
      <c r="AB856" s="59"/>
      <c r="AD856" s="59"/>
      <c r="AI856" s="59"/>
      <c r="AJ856" s="91"/>
      <c r="AK856" s="59"/>
      <c r="AO856" s="59"/>
    </row>
    <row r="857">
      <c r="P857" s="59"/>
      <c r="AB857" s="59"/>
      <c r="AD857" s="59"/>
      <c r="AI857" s="59"/>
      <c r="AJ857" s="91"/>
      <c r="AK857" s="59"/>
      <c r="AO857" s="59"/>
    </row>
    <row r="858">
      <c r="P858" s="59"/>
      <c r="AB858" s="59"/>
      <c r="AD858" s="59"/>
      <c r="AI858" s="59"/>
      <c r="AJ858" s="91"/>
      <c r="AK858" s="59"/>
      <c r="AO858" s="59"/>
    </row>
    <row r="859">
      <c r="P859" s="59"/>
      <c r="AB859" s="59"/>
      <c r="AD859" s="59"/>
      <c r="AI859" s="59"/>
      <c r="AJ859" s="91"/>
      <c r="AK859" s="59"/>
      <c r="AO859" s="59"/>
    </row>
    <row r="860">
      <c r="P860" s="59"/>
      <c r="AB860" s="59"/>
      <c r="AD860" s="59"/>
      <c r="AI860" s="59"/>
      <c r="AJ860" s="91"/>
      <c r="AK860" s="59"/>
      <c r="AO860" s="59"/>
    </row>
    <row r="861">
      <c r="P861" s="59"/>
      <c r="AB861" s="59"/>
      <c r="AD861" s="59"/>
      <c r="AI861" s="59"/>
      <c r="AJ861" s="91"/>
      <c r="AK861" s="59"/>
      <c r="AO861" s="59"/>
    </row>
    <row r="862">
      <c r="P862" s="59"/>
      <c r="AB862" s="59"/>
      <c r="AD862" s="59"/>
      <c r="AI862" s="59"/>
      <c r="AJ862" s="91"/>
      <c r="AK862" s="59"/>
      <c r="AO862" s="59"/>
    </row>
    <row r="863">
      <c r="P863" s="59"/>
      <c r="AB863" s="59"/>
      <c r="AD863" s="59"/>
      <c r="AI863" s="59"/>
      <c r="AJ863" s="91"/>
      <c r="AK863" s="59"/>
      <c r="AO863" s="59"/>
    </row>
    <row r="864">
      <c r="P864" s="59"/>
      <c r="AB864" s="59"/>
      <c r="AD864" s="59"/>
      <c r="AI864" s="59"/>
      <c r="AJ864" s="91"/>
      <c r="AK864" s="59"/>
      <c r="AO864" s="59"/>
    </row>
    <row r="865">
      <c r="P865" s="59"/>
      <c r="AB865" s="59"/>
      <c r="AD865" s="59"/>
      <c r="AI865" s="59"/>
      <c r="AJ865" s="91"/>
      <c r="AK865" s="59"/>
      <c r="AO865" s="59"/>
    </row>
    <row r="866">
      <c r="P866" s="59"/>
      <c r="AB866" s="59"/>
      <c r="AD866" s="59"/>
      <c r="AI866" s="59"/>
      <c r="AJ866" s="91"/>
      <c r="AK866" s="59"/>
      <c r="AO866" s="59"/>
    </row>
    <row r="867">
      <c r="P867" s="59"/>
      <c r="AB867" s="59"/>
      <c r="AD867" s="59"/>
      <c r="AI867" s="59"/>
      <c r="AJ867" s="91"/>
      <c r="AK867" s="59"/>
      <c r="AO867" s="59"/>
    </row>
    <row r="868">
      <c r="P868" s="59"/>
      <c r="AB868" s="59"/>
      <c r="AD868" s="59"/>
      <c r="AI868" s="59"/>
      <c r="AJ868" s="91"/>
      <c r="AK868" s="59"/>
      <c r="AO868" s="59"/>
    </row>
    <row r="869">
      <c r="P869" s="59"/>
      <c r="AB869" s="59"/>
      <c r="AD869" s="59"/>
      <c r="AI869" s="59"/>
      <c r="AJ869" s="91"/>
      <c r="AK869" s="59"/>
      <c r="AO869" s="59"/>
    </row>
    <row r="870">
      <c r="P870" s="59"/>
      <c r="AB870" s="59"/>
      <c r="AD870" s="59"/>
      <c r="AI870" s="59"/>
      <c r="AJ870" s="91"/>
      <c r="AK870" s="59"/>
      <c r="AO870" s="59"/>
    </row>
    <row r="871">
      <c r="P871" s="59"/>
      <c r="AB871" s="59"/>
      <c r="AD871" s="59"/>
      <c r="AI871" s="59"/>
      <c r="AJ871" s="91"/>
      <c r="AK871" s="59"/>
      <c r="AO871" s="59"/>
    </row>
    <row r="872">
      <c r="P872" s="59"/>
      <c r="AB872" s="59"/>
      <c r="AD872" s="59"/>
      <c r="AI872" s="59"/>
      <c r="AJ872" s="91"/>
      <c r="AK872" s="59"/>
      <c r="AO872" s="59"/>
    </row>
    <row r="873">
      <c r="P873" s="59"/>
      <c r="AB873" s="59"/>
      <c r="AD873" s="59"/>
      <c r="AI873" s="59"/>
      <c r="AJ873" s="91"/>
      <c r="AK873" s="59"/>
      <c r="AO873" s="59"/>
    </row>
    <row r="874">
      <c r="P874" s="59"/>
      <c r="AB874" s="59"/>
      <c r="AD874" s="59"/>
      <c r="AI874" s="59"/>
      <c r="AJ874" s="91"/>
      <c r="AK874" s="59"/>
      <c r="AO874" s="59"/>
    </row>
    <row r="875">
      <c r="P875" s="59"/>
      <c r="AB875" s="59"/>
      <c r="AD875" s="59"/>
      <c r="AI875" s="59"/>
      <c r="AJ875" s="91"/>
      <c r="AK875" s="59"/>
      <c r="AO875" s="59"/>
    </row>
    <row r="876">
      <c r="P876" s="59"/>
      <c r="AB876" s="59"/>
      <c r="AD876" s="59"/>
      <c r="AI876" s="59"/>
      <c r="AJ876" s="91"/>
      <c r="AK876" s="59"/>
      <c r="AO876" s="59"/>
    </row>
    <row r="877">
      <c r="P877" s="59"/>
      <c r="AB877" s="59"/>
      <c r="AD877" s="59"/>
      <c r="AI877" s="59"/>
      <c r="AJ877" s="91"/>
      <c r="AK877" s="59"/>
      <c r="AO877" s="59"/>
    </row>
    <row r="878">
      <c r="P878" s="59"/>
      <c r="AB878" s="59"/>
      <c r="AD878" s="59"/>
      <c r="AI878" s="59"/>
      <c r="AJ878" s="91"/>
      <c r="AK878" s="59"/>
      <c r="AO878" s="59"/>
    </row>
    <row r="879">
      <c r="P879" s="59"/>
      <c r="AB879" s="59"/>
      <c r="AD879" s="59"/>
      <c r="AI879" s="59"/>
      <c r="AJ879" s="91"/>
      <c r="AK879" s="59"/>
      <c r="AO879" s="59"/>
    </row>
    <row r="880">
      <c r="P880" s="59"/>
      <c r="AB880" s="59"/>
      <c r="AD880" s="59"/>
      <c r="AI880" s="59"/>
      <c r="AJ880" s="91"/>
      <c r="AK880" s="59"/>
      <c r="AO880" s="59"/>
    </row>
    <row r="881">
      <c r="P881" s="59"/>
      <c r="AB881" s="59"/>
      <c r="AD881" s="59"/>
      <c r="AI881" s="59"/>
      <c r="AJ881" s="91"/>
      <c r="AK881" s="59"/>
      <c r="AO881" s="59"/>
    </row>
    <row r="882">
      <c r="P882" s="59"/>
      <c r="AB882" s="59"/>
      <c r="AD882" s="59"/>
      <c r="AI882" s="59"/>
      <c r="AJ882" s="91"/>
      <c r="AK882" s="59"/>
      <c r="AO882" s="59"/>
    </row>
    <row r="883">
      <c r="P883" s="59"/>
      <c r="AB883" s="59"/>
      <c r="AD883" s="59"/>
      <c r="AI883" s="59"/>
      <c r="AJ883" s="91"/>
      <c r="AK883" s="59"/>
      <c r="AO883" s="59"/>
    </row>
    <row r="884">
      <c r="P884" s="59"/>
      <c r="AB884" s="59"/>
      <c r="AD884" s="59"/>
      <c r="AI884" s="59"/>
      <c r="AJ884" s="91"/>
      <c r="AK884" s="59"/>
      <c r="AO884" s="59"/>
    </row>
    <row r="885">
      <c r="P885" s="59"/>
      <c r="AB885" s="59"/>
      <c r="AD885" s="59"/>
      <c r="AI885" s="59"/>
      <c r="AJ885" s="91"/>
      <c r="AK885" s="59"/>
      <c r="AO885" s="59"/>
    </row>
    <row r="886">
      <c r="P886" s="59"/>
      <c r="AB886" s="59"/>
      <c r="AD886" s="59"/>
      <c r="AI886" s="59"/>
      <c r="AJ886" s="91"/>
      <c r="AK886" s="59"/>
      <c r="AO886" s="59"/>
    </row>
    <row r="887">
      <c r="P887" s="59"/>
      <c r="AB887" s="59"/>
      <c r="AD887" s="59"/>
      <c r="AI887" s="59"/>
      <c r="AJ887" s="91"/>
      <c r="AK887" s="59"/>
      <c r="AO887" s="59"/>
    </row>
    <row r="888">
      <c r="P888" s="59"/>
      <c r="AB888" s="59"/>
      <c r="AD888" s="59"/>
      <c r="AI888" s="59"/>
      <c r="AJ888" s="91"/>
      <c r="AK888" s="59"/>
      <c r="AO888" s="59"/>
    </row>
    <row r="889">
      <c r="P889" s="59"/>
      <c r="AB889" s="59"/>
      <c r="AD889" s="59"/>
      <c r="AI889" s="59"/>
      <c r="AJ889" s="91"/>
      <c r="AK889" s="59"/>
      <c r="AO889" s="59"/>
    </row>
    <row r="890">
      <c r="P890" s="59"/>
      <c r="AB890" s="59"/>
      <c r="AD890" s="59"/>
      <c r="AI890" s="59"/>
      <c r="AJ890" s="91"/>
      <c r="AK890" s="59"/>
      <c r="AO890" s="59"/>
    </row>
    <row r="891">
      <c r="P891" s="59"/>
      <c r="AB891" s="59"/>
      <c r="AD891" s="59"/>
      <c r="AI891" s="59"/>
      <c r="AJ891" s="91"/>
      <c r="AK891" s="59"/>
      <c r="AO891" s="59"/>
    </row>
    <row r="892">
      <c r="P892" s="59"/>
      <c r="AB892" s="59"/>
      <c r="AD892" s="59"/>
      <c r="AI892" s="59"/>
      <c r="AJ892" s="91"/>
      <c r="AK892" s="59"/>
      <c r="AO892" s="59"/>
    </row>
    <row r="893">
      <c r="P893" s="59"/>
      <c r="AB893" s="59"/>
      <c r="AD893" s="59"/>
      <c r="AI893" s="59"/>
      <c r="AJ893" s="91"/>
      <c r="AK893" s="59"/>
      <c r="AO893" s="59"/>
    </row>
    <row r="894">
      <c r="P894" s="59"/>
      <c r="AB894" s="59"/>
      <c r="AD894" s="59"/>
      <c r="AI894" s="59"/>
      <c r="AJ894" s="91"/>
      <c r="AK894" s="59"/>
      <c r="AO894" s="59"/>
    </row>
    <row r="895">
      <c r="P895" s="59"/>
      <c r="AB895" s="59"/>
      <c r="AD895" s="59"/>
      <c r="AI895" s="59"/>
      <c r="AJ895" s="91"/>
      <c r="AK895" s="59"/>
      <c r="AO895" s="59"/>
    </row>
    <row r="896">
      <c r="P896" s="59"/>
      <c r="AB896" s="59"/>
      <c r="AD896" s="59"/>
      <c r="AI896" s="59"/>
      <c r="AJ896" s="91"/>
      <c r="AK896" s="59"/>
      <c r="AO896" s="59"/>
    </row>
    <row r="897">
      <c r="P897" s="59"/>
      <c r="AB897" s="59"/>
      <c r="AD897" s="59"/>
      <c r="AI897" s="59"/>
      <c r="AJ897" s="91"/>
      <c r="AK897" s="59"/>
      <c r="AO897" s="59"/>
    </row>
    <row r="898">
      <c r="P898" s="59"/>
      <c r="AB898" s="59"/>
      <c r="AD898" s="59"/>
      <c r="AI898" s="59"/>
      <c r="AJ898" s="91"/>
      <c r="AK898" s="59"/>
      <c r="AO898" s="59"/>
    </row>
    <row r="899">
      <c r="P899" s="59"/>
      <c r="AB899" s="59"/>
      <c r="AD899" s="59"/>
      <c r="AI899" s="59"/>
      <c r="AJ899" s="91"/>
      <c r="AK899" s="59"/>
      <c r="AO899" s="59"/>
    </row>
    <row r="900">
      <c r="P900" s="59"/>
      <c r="AB900" s="59"/>
      <c r="AD900" s="59"/>
      <c r="AI900" s="59"/>
      <c r="AJ900" s="91"/>
      <c r="AK900" s="59"/>
      <c r="AO900" s="59"/>
    </row>
    <row r="901">
      <c r="P901" s="59"/>
      <c r="AB901" s="59"/>
      <c r="AD901" s="59"/>
      <c r="AI901" s="59"/>
      <c r="AJ901" s="91"/>
      <c r="AK901" s="59"/>
      <c r="AO901" s="59"/>
    </row>
    <row r="902">
      <c r="P902" s="59"/>
      <c r="AB902" s="59"/>
      <c r="AD902" s="59"/>
      <c r="AI902" s="59"/>
      <c r="AJ902" s="91"/>
      <c r="AK902" s="59"/>
      <c r="AO902" s="59"/>
    </row>
    <row r="903">
      <c r="P903" s="59"/>
      <c r="AB903" s="59"/>
      <c r="AD903" s="59"/>
      <c r="AI903" s="59"/>
      <c r="AJ903" s="91"/>
      <c r="AK903" s="59"/>
      <c r="AO903" s="59"/>
    </row>
    <row r="904">
      <c r="P904" s="59"/>
      <c r="AB904" s="59"/>
      <c r="AD904" s="59"/>
      <c r="AI904" s="59"/>
      <c r="AJ904" s="91"/>
      <c r="AK904" s="59"/>
      <c r="AO904" s="59"/>
    </row>
    <row r="905">
      <c r="P905" s="59"/>
      <c r="AB905" s="59"/>
      <c r="AD905" s="59"/>
      <c r="AI905" s="59"/>
      <c r="AJ905" s="91"/>
      <c r="AK905" s="59"/>
      <c r="AO905" s="59"/>
    </row>
    <row r="906">
      <c r="P906" s="59"/>
      <c r="AB906" s="59"/>
      <c r="AD906" s="59"/>
      <c r="AI906" s="59"/>
      <c r="AJ906" s="91"/>
      <c r="AK906" s="59"/>
      <c r="AO906" s="59"/>
    </row>
    <row r="907">
      <c r="P907" s="59"/>
      <c r="AB907" s="59"/>
      <c r="AD907" s="59"/>
      <c r="AI907" s="59"/>
      <c r="AJ907" s="91"/>
      <c r="AK907" s="59"/>
      <c r="AO907" s="59"/>
    </row>
    <row r="908">
      <c r="P908" s="59"/>
      <c r="AB908" s="59"/>
      <c r="AD908" s="59"/>
      <c r="AI908" s="59"/>
      <c r="AJ908" s="91"/>
      <c r="AK908" s="59"/>
      <c r="AO908" s="59"/>
    </row>
    <row r="909">
      <c r="P909" s="59"/>
      <c r="AB909" s="59"/>
      <c r="AD909" s="59"/>
      <c r="AI909" s="59"/>
      <c r="AJ909" s="91"/>
      <c r="AK909" s="59"/>
      <c r="AO909" s="59"/>
    </row>
    <row r="910">
      <c r="P910" s="59"/>
      <c r="AB910" s="59"/>
      <c r="AD910" s="59"/>
      <c r="AI910" s="59"/>
      <c r="AJ910" s="91"/>
      <c r="AK910" s="59"/>
      <c r="AO910" s="59"/>
    </row>
    <row r="911">
      <c r="P911" s="59"/>
      <c r="AB911" s="59"/>
      <c r="AD911" s="59"/>
      <c r="AI911" s="59"/>
      <c r="AJ911" s="91"/>
      <c r="AK911" s="59"/>
      <c r="AO911" s="59"/>
    </row>
    <row r="912">
      <c r="P912" s="59"/>
      <c r="AB912" s="59"/>
      <c r="AD912" s="59"/>
      <c r="AI912" s="59"/>
      <c r="AJ912" s="91"/>
      <c r="AK912" s="59"/>
      <c r="AO912" s="59"/>
    </row>
    <row r="913">
      <c r="P913" s="59"/>
      <c r="AB913" s="59"/>
      <c r="AD913" s="59"/>
      <c r="AI913" s="59"/>
      <c r="AJ913" s="91"/>
      <c r="AK913" s="59"/>
      <c r="AO913" s="59"/>
    </row>
    <row r="914">
      <c r="P914" s="59"/>
      <c r="AB914" s="59"/>
      <c r="AD914" s="59"/>
      <c r="AI914" s="59"/>
      <c r="AJ914" s="91"/>
      <c r="AK914" s="59"/>
      <c r="AO914" s="59"/>
    </row>
    <row r="915">
      <c r="P915" s="59"/>
      <c r="AB915" s="59"/>
      <c r="AD915" s="59"/>
      <c r="AI915" s="59"/>
      <c r="AJ915" s="91"/>
      <c r="AK915" s="59"/>
      <c r="AO915" s="59"/>
    </row>
    <row r="916">
      <c r="P916" s="59"/>
      <c r="AB916" s="59"/>
      <c r="AD916" s="59"/>
      <c r="AI916" s="59"/>
      <c r="AJ916" s="91"/>
      <c r="AK916" s="59"/>
      <c r="AO916" s="59"/>
    </row>
    <row r="917">
      <c r="P917" s="59"/>
      <c r="AB917" s="59"/>
      <c r="AD917" s="59"/>
      <c r="AI917" s="59"/>
      <c r="AJ917" s="91"/>
      <c r="AK917" s="59"/>
      <c r="AO917" s="59"/>
    </row>
    <row r="918">
      <c r="P918" s="59"/>
      <c r="AB918" s="59"/>
      <c r="AD918" s="59"/>
      <c r="AI918" s="59"/>
      <c r="AJ918" s="91"/>
      <c r="AK918" s="59"/>
      <c r="AO918" s="59"/>
    </row>
    <row r="919">
      <c r="P919" s="59"/>
      <c r="AB919" s="59"/>
      <c r="AD919" s="59"/>
      <c r="AI919" s="59"/>
      <c r="AJ919" s="91"/>
      <c r="AK919" s="59"/>
      <c r="AO919" s="59"/>
    </row>
    <row r="920">
      <c r="P920" s="59"/>
      <c r="AB920" s="59"/>
      <c r="AD920" s="59"/>
      <c r="AI920" s="59"/>
      <c r="AJ920" s="91"/>
      <c r="AK920" s="59"/>
      <c r="AO920" s="59"/>
    </row>
    <row r="921">
      <c r="P921" s="59"/>
      <c r="AB921" s="59"/>
      <c r="AD921" s="59"/>
      <c r="AI921" s="59"/>
      <c r="AJ921" s="91"/>
      <c r="AK921" s="59"/>
      <c r="AO921" s="59"/>
    </row>
    <row r="922">
      <c r="P922" s="59"/>
      <c r="AB922" s="59"/>
      <c r="AD922" s="59"/>
      <c r="AI922" s="59"/>
      <c r="AJ922" s="91"/>
      <c r="AK922" s="59"/>
      <c r="AO922" s="59"/>
    </row>
    <row r="923">
      <c r="P923" s="59"/>
      <c r="AB923" s="59"/>
      <c r="AD923" s="59"/>
      <c r="AI923" s="59"/>
      <c r="AJ923" s="91"/>
      <c r="AK923" s="59"/>
      <c r="AO923" s="59"/>
    </row>
    <row r="924">
      <c r="P924" s="59"/>
      <c r="AB924" s="59"/>
      <c r="AD924" s="59"/>
      <c r="AI924" s="59"/>
      <c r="AJ924" s="91"/>
      <c r="AK924" s="59"/>
      <c r="AO924" s="59"/>
    </row>
    <row r="925">
      <c r="P925" s="59"/>
      <c r="AB925" s="59"/>
      <c r="AD925" s="59"/>
      <c r="AI925" s="59"/>
      <c r="AJ925" s="91"/>
      <c r="AK925" s="59"/>
      <c r="AO925" s="59"/>
    </row>
    <row r="926">
      <c r="P926" s="59"/>
      <c r="AB926" s="59"/>
      <c r="AD926" s="59"/>
      <c r="AI926" s="59"/>
      <c r="AJ926" s="91"/>
      <c r="AK926" s="59"/>
      <c r="AO926" s="59"/>
    </row>
    <row r="927">
      <c r="P927" s="59"/>
      <c r="AB927" s="59"/>
      <c r="AD927" s="59"/>
      <c r="AI927" s="59"/>
      <c r="AJ927" s="91"/>
      <c r="AK927" s="59"/>
      <c r="AO927" s="59"/>
    </row>
    <row r="928">
      <c r="P928" s="59"/>
      <c r="AB928" s="59"/>
      <c r="AD928" s="59"/>
      <c r="AI928" s="59"/>
      <c r="AJ928" s="91"/>
      <c r="AK928" s="59"/>
      <c r="AO928" s="59"/>
    </row>
    <row r="929">
      <c r="P929" s="59"/>
      <c r="AB929" s="59"/>
      <c r="AD929" s="59"/>
      <c r="AI929" s="59"/>
      <c r="AJ929" s="91"/>
      <c r="AK929" s="59"/>
      <c r="AO929" s="59"/>
    </row>
    <row r="930">
      <c r="P930" s="59"/>
      <c r="AB930" s="59"/>
      <c r="AD930" s="59"/>
      <c r="AI930" s="59"/>
      <c r="AJ930" s="91"/>
      <c r="AK930" s="59"/>
      <c r="AO930" s="59"/>
    </row>
    <row r="931">
      <c r="P931" s="59"/>
      <c r="AB931" s="59"/>
      <c r="AD931" s="59"/>
      <c r="AI931" s="59"/>
      <c r="AJ931" s="91"/>
      <c r="AK931" s="59"/>
      <c r="AO931" s="59"/>
    </row>
    <row r="932">
      <c r="P932" s="59"/>
      <c r="AB932" s="59"/>
      <c r="AD932" s="59"/>
      <c r="AI932" s="59"/>
      <c r="AJ932" s="91"/>
      <c r="AK932" s="59"/>
      <c r="AO932" s="59"/>
    </row>
    <row r="933">
      <c r="P933" s="59"/>
      <c r="AB933" s="59"/>
      <c r="AD933" s="59"/>
      <c r="AI933" s="59"/>
      <c r="AJ933" s="91"/>
      <c r="AK933" s="59"/>
      <c r="AO933" s="59"/>
    </row>
    <row r="934">
      <c r="P934" s="59"/>
      <c r="AB934" s="59"/>
      <c r="AD934" s="59"/>
      <c r="AI934" s="59"/>
      <c r="AJ934" s="91"/>
      <c r="AK934" s="59"/>
      <c r="AO934" s="59"/>
    </row>
    <row r="935">
      <c r="P935" s="59"/>
      <c r="AB935" s="59"/>
      <c r="AD935" s="59"/>
      <c r="AI935" s="59"/>
      <c r="AJ935" s="91"/>
      <c r="AK935" s="59"/>
      <c r="AO935" s="59"/>
    </row>
    <row r="936">
      <c r="P936" s="59"/>
      <c r="AB936" s="59"/>
      <c r="AD936" s="59"/>
      <c r="AI936" s="59"/>
      <c r="AJ936" s="91"/>
      <c r="AK936" s="59"/>
      <c r="AO936" s="59"/>
    </row>
    <row r="937">
      <c r="P937" s="59"/>
      <c r="AB937" s="59"/>
      <c r="AD937" s="59"/>
      <c r="AI937" s="59"/>
      <c r="AJ937" s="91"/>
      <c r="AK937" s="59"/>
      <c r="AO937" s="59"/>
    </row>
    <row r="938">
      <c r="P938" s="59"/>
      <c r="AB938" s="59"/>
      <c r="AD938" s="59"/>
      <c r="AI938" s="59"/>
      <c r="AJ938" s="91"/>
      <c r="AK938" s="59"/>
      <c r="AO938" s="59"/>
    </row>
    <row r="939">
      <c r="P939" s="59"/>
      <c r="AB939" s="59"/>
      <c r="AD939" s="59"/>
      <c r="AI939" s="59"/>
      <c r="AJ939" s="91"/>
      <c r="AK939" s="59"/>
      <c r="AO939" s="59"/>
    </row>
    <row r="940">
      <c r="P940" s="59"/>
      <c r="AB940" s="59"/>
      <c r="AD940" s="59"/>
      <c r="AI940" s="59"/>
      <c r="AJ940" s="91"/>
      <c r="AK940" s="59"/>
      <c r="AO940" s="59"/>
    </row>
    <row r="941">
      <c r="P941" s="59"/>
      <c r="AB941" s="59"/>
      <c r="AD941" s="59"/>
      <c r="AI941" s="59"/>
      <c r="AJ941" s="91"/>
      <c r="AK941" s="59"/>
      <c r="AO941" s="59"/>
    </row>
    <row r="942">
      <c r="P942" s="59"/>
      <c r="AB942" s="59"/>
      <c r="AD942" s="59"/>
      <c r="AI942" s="59"/>
      <c r="AJ942" s="91"/>
      <c r="AK942" s="59"/>
      <c r="AO942" s="59"/>
    </row>
    <row r="943">
      <c r="P943" s="59"/>
      <c r="AB943" s="59"/>
      <c r="AD943" s="59"/>
      <c r="AI943" s="59"/>
      <c r="AJ943" s="91"/>
      <c r="AK943" s="59"/>
      <c r="AO943" s="59"/>
    </row>
    <row r="944">
      <c r="P944" s="59"/>
      <c r="AB944" s="59"/>
      <c r="AD944" s="59"/>
      <c r="AI944" s="59"/>
      <c r="AJ944" s="91"/>
      <c r="AK944" s="59"/>
      <c r="AO944" s="59"/>
    </row>
    <row r="945">
      <c r="P945" s="59"/>
      <c r="AB945" s="59"/>
      <c r="AD945" s="59"/>
      <c r="AI945" s="59"/>
      <c r="AJ945" s="91"/>
      <c r="AK945" s="59"/>
      <c r="AO945" s="59"/>
    </row>
    <row r="946">
      <c r="P946" s="59"/>
      <c r="AB946" s="59"/>
      <c r="AD946" s="59"/>
      <c r="AI946" s="59"/>
      <c r="AJ946" s="91"/>
      <c r="AK946" s="59"/>
      <c r="AO946" s="59"/>
    </row>
    <row r="947">
      <c r="P947" s="59"/>
      <c r="AB947" s="59"/>
      <c r="AD947" s="59"/>
      <c r="AI947" s="59"/>
      <c r="AJ947" s="91"/>
      <c r="AK947" s="59"/>
      <c r="AO947" s="59"/>
    </row>
    <row r="948">
      <c r="P948" s="59"/>
      <c r="AB948" s="59"/>
      <c r="AD948" s="59"/>
      <c r="AI948" s="59"/>
      <c r="AJ948" s="91"/>
      <c r="AK948" s="59"/>
      <c r="AO948" s="59"/>
    </row>
    <row r="949">
      <c r="P949" s="59"/>
      <c r="AB949" s="59"/>
      <c r="AD949" s="59"/>
      <c r="AI949" s="59"/>
      <c r="AJ949" s="91"/>
      <c r="AK949" s="59"/>
      <c r="AO949" s="59"/>
    </row>
    <row r="950">
      <c r="P950" s="59"/>
      <c r="AB950" s="59"/>
      <c r="AD950" s="59"/>
      <c r="AI950" s="59"/>
      <c r="AJ950" s="91"/>
      <c r="AK950" s="59"/>
      <c r="AO950" s="59"/>
    </row>
    <row r="951">
      <c r="P951" s="59"/>
      <c r="AB951" s="59"/>
      <c r="AD951" s="59"/>
      <c r="AI951" s="59"/>
      <c r="AJ951" s="91"/>
      <c r="AK951" s="59"/>
      <c r="AO951" s="59"/>
    </row>
    <row r="952">
      <c r="P952" s="59"/>
      <c r="AB952" s="59"/>
      <c r="AD952" s="59"/>
      <c r="AI952" s="59"/>
      <c r="AJ952" s="91"/>
      <c r="AK952" s="59"/>
      <c r="AO952" s="59"/>
    </row>
    <row r="953">
      <c r="P953" s="59"/>
      <c r="AB953" s="59"/>
      <c r="AD953" s="59"/>
      <c r="AI953" s="59"/>
      <c r="AJ953" s="91"/>
      <c r="AK953" s="59"/>
      <c r="AO953" s="59"/>
    </row>
    <row r="954">
      <c r="P954" s="59"/>
      <c r="AB954" s="59"/>
      <c r="AD954" s="59"/>
      <c r="AI954" s="59"/>
      <c r="AJ954" s="91"/>
      <c r="AK954" s="59"/>
      <c r="AO954" s="59"/>
    </row>
    <row r="955">
      <c r="P955" s="59"/>
      <c r="AB955" s="59"/>
      <c r="AD955" s="59"/>
      <c r="AI955" s="59"/>
      <c r="AJ955" s="91"/>
      <c r="AK955" s="59"/>
      <c r="AO955" s="59"/>
    </row>
    <row r="956">
      <c r="P956" s="59"/>
      <c r="AB956" s="59"/>
      <c r="AD956" s="59"/>
      <c r="AI956" s="59"/>
      <c r="AJ956" s="91"/>
      <c r="AK956" s="59"/>
      <c r="AO956" s="59"/>
    </row>
    <row r="957">
      <c r="P957" s="59"/>
      <c r="AB957" s="59"/>
      <c r="AD957" s="59"/>
      <c r="AI957" s="59"/>
      <c r="AJ957" s="91"/>
      <c r="AK957" s="59"/>
      <c r="AO957" s="59"/>
    </row>
    <row r="958">
      <c r="P958" s="59"/>
      <c r="AB958" s="59"/>
      <c r="AD958" s="59"/>
      <c r="AI958" s="59"/>
      <c r="AJ958" s="91"/>
      <c r="AK958" s="59"/>
      <c r="AO958" s="59"/>
    </row>
    <row r="959">
      <c r="P959" s="59"/>
      <c r="AB959" s="59"/>
      <c r="AD959" s="59"/>
      <c r="AI959" s="59"/>
      <c r="AJ959" s="91"/>
      <c r="AK959" s="59"/>
      <c r="AO959" s="59"/>
    </row>
    <row r="960">
      <c r="P960" s="59"/>
      <c r="AB960" s="59"/>
      <c r="AD960" s="59"/>
      <c r="AI960" s="59"/>
      <c r="AJ960" s="91"/>
      <c r="AK960" s="59"/>
      <c r="AO960" s="59"/>
    </row>
    <row r="961">
      <c r="P961" s="59"/>
      <c r="AB961" s="59"/>
      <c r="AD961" s="59"/>
      <c r="AI961" s="59"/>
      <c r="AJ961" s="91"/>
      <c r="AK961" s="59"/>
      <c r="AO961" s="59"/>
    </row>
    <row r="962">
      <c r="P962" s="59"/>
      <c r="AB962" s="59"/>
      <c r="AD962" s="59"/>
      <c r="AI962" s="59"/>
      <c r="AJ962" s="91"/>
      <c r="AK962" s="59"/>
      <c r="AO962" s="59"/>
    </row>
    <row r="963">
      <c r="P963" s="59"/>
      <c r="AB963" s="59"/>
      <c r="AD963" s="59"/>
      <c r="AI963" s="59"/>
      <c r="AJ963" s="91"/>
      <c r="AK963" s="59"/>
      <c r="AO963" s="59"/>
    </row>
    <row r="964">
      <c r="P964" s="59"/>
      <c r="AB964" s="59"/>
      <c r="AD964" s="59"/>
      <c r="AI964" s="59"/>
      <c r="AJ964" s="91"/>
      <c r="AK964" s="59"/>
      <c r="AO964" s="59"/>
    </row>
    <row r="965">
      <c r="P965" s="59"/>
      <c r="AB965" s="59"/>
      <c r="AD965" s="59"/>
      <c r="AI965" s="59"/>
      <c r="AJ965" s="91"/>
      <c r="AK965" s="59"/>
      <c r="AO965" s="59"/>
    </row>
    <row r="966">
      <c r="P966" s="59"/>
      <c r="AB966" s="59"/>
      <c r="AD966" s="59"/>
      <c r="AI966" s="59"/>
      <c r="AJ966" s="91"/>
      <c r="AK966" s="59"/>
      <c r="AO966" s="59"/>
    </row>
    <row r="967">
      <c r="P967" s="59"/>
      <c r="AB967" s="59"/>
      <c r="AD967" s="59"/>
      <c r="AI967" s="59"/>
      <c r="AJ967" s="91"/>
      <c r="AK967" s="59"/>
      <c r="AO967" s="59"/>
    </row>
    <row r="968">
      <c r="P968" s="59"/>
      <c r="AB968" s="59"/>
      <c r="AD968" s="59"/>
      <c r="AI968" s="59"/>
      <c r="AJ968" s="91"/>
      <c r="AK968" s="59"/>
      <c r="AO968" s="59"/>
    </row>
    <row r="969">
      <c r="P969" s="59"/>
      <c r="AB969" s="59"/>
      <c r="AD969" s="59"/>
      <c r="AI969" s="59"/>
      <c r="AJ969" s="91"/>
      <c r="AK969" s="59"/>
      <c r="AO969" s="59"/>
    </row>
    <row r="970">
      <c r="P970" s="59"/>
      <c r="AB970" s="59"/>
      <c r="AD970" s="59"/>
      <c r="AI970" s="59"/>
      <c r="AJ970" s="91"/>
      <c r="AK970" s="59"/>
      <c r="AO970" s="59"/>
    </row>
    <row r="971">
      <c r="P971" s="59"/>
      <c r="AB971" s="59"/>
      <c r="AD971" s="59"/>
      <c r="AI971" s="59"/>
      <c r="AJ971" s="91"/>
      <c r="AK971" s="59"/>
      <c r="AO971" s="59"/>
    </row>
    <row r="972">
      <c r="P972" s="59"/>
      <c r="AB972" s="59"/>
      <c r="AD972" s="59"/>
      <c r="AI972" s="59"/>
      <c r="AJ972" s="91"/>
      <c r="AK972" s="59"/>
      <c r="AO972" s="59"/>
    </row>
    <row r="973">
      <c r="P973" s="59"/>
      <c r="AB973" s="59"/>
      <c r="AD973" s="59"/>
      <c r="AI973" s="59"/>
      <c r="AJ973" s="91"/>
      <c r="AK973" s="59"/>
      <c r="AO973" s="59"/>
    </row>
    <row r="974">
      <c r="P974" s="59"/>
      <c r="AB974" s="59"/>
      <c r="AD974" s="59"/>
      <c r="AI974" s="59"/>
      <c r="AJ974" s="91"/>
      <c r="AK974" s="59"/>
      <c r="AO974" s="59"/>
    </row>
    <row r="975">
      <c r="P975" s="59"/>
      <c r="AB975" s="59"/>
      <c r="AD975" s="59"/>
      <c r="AI975" s="59"/>
      <c r="AJ975" s="91"/>
      <c r="AK975" s="59"/>
      <c r="AO975" s="59"/>
    </row>
    <row r="976">
      <c r="P976" s="59"/>
      <c r="AB976" s="59"/>
      <c r="AD976" s="59"/>
      <c r="AI976" s="59"/>
      <c r="AJ976" s="91"/>
      <c r="AK976" s="59"/>
      <c r="AO976" s="59"/>
    </row>
    <row r="977">
      <c r="P977" s="59"/>
      <c r="AB977" s="59"/>
      <c r="AD977" s="59"/>
      <c r="AI977" s="59"/>
      <c r="AJ977" s="91"/>
      <c r="AK977" s="59"/>
      <c r="AO977" s="59"/>
    </row>
    <row r="978">
      <c r="P978" s="59"/>
      <c r="AB978" s="59"/>
      <c r="AD978" s="59"/>
      <c r="AI978" s="59"/>
      <c r="AJ978" s="91"/>
      <c r="AK978" s="59"/>
      <c r="AO978" s="59"/>
    </row>
    <row r="979">
      <c r="P979" s="59"/>
      <c r="AB979" s="59"/>
      <c r="AD979" s="59"/>
      <c r="AI979" s="59"/>
      <c r="AJ979" s="91"/>
      <c r="AK979" s="59"/>
      <c r="AO979" s="59"/>
    </row>
    <row r="980">
      <c r="P980" s="59"/>
      <c r="AB980" s="59"/>
      <c r="AD980" s="59"/>
      <c r="AI980" s="59"/>
      <c r="AJ980" s="91"/>
      <c r="AK980" s="59"/>
      <c r="AO980" s="59"/>
    </row>
    <row r="981">
      <c r="P981" s="59"/>
      <c r="AB981" s="59"/>
      <c r="AD981" s="59"/>
      <c r="AI981" s="59"/>
      <c r="AJ981" s="91"/>
      <c r="AK981" s="59"/>
      <c r="AO981" s="59"/>
    </row>
    <row r="982">
      <c r="P982" s="59"/>
      <c r="AB982" s="59"/>
      <c r="AD982" s="59"/>
      <c r="AI982" s="59"/>
      <c r="AJ982" s="91"/>
      <c r="AK982" s="59"/>
      <c r="AO982" s="59"/>
    </row>
    <row r="983">
      <c r="P983" s="59"/>
      <c r="AB983" s="59"/>
      <c r="AD983" s="59"/>
      <c r="AI983" s="59"/>
      <c r="AJ983" s="91"/>
      <c r="AK983" s="59"/>
      <c r="AO983" s="59"/>
    </row>
    <row r="984">
      <c r="P984" s="59"/>
      <c r="AB984" s="59"/>
      <c r="AD984" s="59"/>
      <c r="AI984" s="59"/>
      <c r="AJ984" s="91"/>
      <c r="AK984" s="59"/>
      <c r="AO984" s="59"/>
    </row>
    <row r="985">
      <c r="P985" s="59"/>
      <c r="AB985" s="59"/>
      <c r="AD985" s="59"/>
      <c r="AI985" s="59"/>
      <c r="AJ985" s="91"/>
      <c r="AK985" s="59"/>
      <c r="AO985" s="59"/>
    </row>
    <row r="986">
      <c r="P986" s="59"/>
      <c r="AB986" s="59"/>
      <c r="AD986" s="59"/>
      <c r="AI986" s="59"/>
      <c r="AJ986" s="91"/>
      <c r="AK986" s="59"/>
      <c r="AO986" s="59"/>
    </row>
    <row r="987">
      <c r="P987" s="59"/>
      <c r="AB987" s="59"/>
      <c r="AD987" s="59"/>
      <c r="AI987" s="59"/>
      <c r="AJ987" s="91"/>
      <c r="AK987" s="59"/>
      <c r="AO987" s="59"/>
    </row>
    <row r="988">
      <c r="P988" s="59"/>
      <c r="AB988" s="59"/>
      <c r="AD988" s="59"/>
      <c r="AI988" s="59"/>
      <c r="AJ988" s="91"/>
      <c r="AK988" s="59"/>
      <c r="AO988" s="59"/>
    </row>
    <row r="989">
      <c r="P989" s="59"/>
      <c r="AB989" s="59"/>
      <c r="AD989" s="59"/>
      <c r="AI989" s="59"/>
      <c r="AJ989" s="91"/>
      <c r="AK989" s="59"/>
      <c r="AO989" s="59"/>
    </row>
    <row r="990">
      <c r="P990" s="59"/>
      <c r="AB990" s="59"/>
      <c r="AD990" s="59"/>
      <c r="AI990" s="59"/>
      <c r="AJ990" s="91"/>
      <c r="AK990" s="59"/>
      <c r="AO990" s="59"/>
    </row>
    <row r="991">
      <c r="P991" s="59"/>
      <c r="AB991" s="59"/>
      <c r="AD991" s="59"/>
      <c r="AI991" s="59"/>
      <c r="AJ991" s="91"/>
      <c r="AK991" s="59"/>
      <c r="AO991" s="59"/>
    </row>
    <row r="992">
      <c r="P992" s="59"/>
      <c r="AB992" s="59"/>
      <c r="AD992" s="59"/>
      <c r="AI992" s="59"/>
      <c r="AJ992" s="91"/>
      <c r="AK992" s="59"/>
      <c r="AO992" s="59"/>
    </row>
    <row r="993">
      <c r="P993" s="59"/>
      <c r="AB993" s="59"/>
      <c r="AD993" s="59"/>
      <c r="AI993" s="59"/>
      <c r="AJ993" s="91"/>
      <c r="AK993" s="59"/>
      <c r="AO993" s="59"/>
    </row>
    <row r="994">
      <c r="P994" s="59"/>
      <c r="AB994" s="59"/>
      <c r="AD994" s="59"/>
      <c r="AI994" s="59"/>
      <c r="AJ994" s="91"/>
      <c r="AK994" s="59"/>
      <c r="AO994" s="59"/>
    </row>
    <row r="995">
      <c r="P995" s="59"/>
      <c r="AB995" s="59"/>
      <c r="AD995" s="59"/>
      <c r="AI995" s="59"/>
      <c r="AJ995" s="91"/>
      <c r="AK995" s="59"/>
      <c r="AO995" s="59"/>
    </row>
    <row r="996">
      <c r="P996" s="59"/>
      <c r="AB996" s="59"/>
      <c r="AD996" s="59"/>
      <c r="AI996" s="59"/>
      <c r="AJ996" s="91"/>
      <c r="AK996" s="59"/>
      <c r="AO996" s="59"/>
    </row>
    <row r="997">
      <c r="P997" s="59"/>
      <c r="AB997" s="59"/>
      <c r="AD997" s="59"/>
      <c r="AI997" s="59"/>
      <c r="AJ997" s="91"/>
      <c r="AK997" s="59"/>
      <c r="AO997" s="59"/>
    </row>
    <row r="998">
      <c r="P998" s="59"/>
      <c r="AB998" s="59"/>
      <c r="AD998" s="59"/>
      <c r="AI998" s="59"/>
      <c r="AJ998" s="91"/>
      <c r="AK998" s="59"/>
      <c r="AO998" s="59"/>
    </row>
    <row r="999">
      <c r="P999" s="59"/>
      <c r="AB999" s="59"/>
      <c r="AD999" s="59"/>
      <c r="AI999" s="59"/>
      <c r="AJ999" s="91"/>
      <c r="AK999" s="59"/>
      <c r="AO999" s="59"/>
    </row>
    <row r="1000">
      <c r="P1000" s="59"/>
      <c r="AB1000" s="59"/>
      <c r="AD1000" s="59"/>
      <c r="AI1000" s="59"/>
      <c r="AJ1000" s="91"/>
      <c r="AK1000" s="59"/>
      <c r="AO1000" s="59"/>
    </row>
    <row r="1001">
      <c r="P1001" s="59"/>
      <c r="AB1001" s="59"/>
      <c r="AD1001" s="59"/>
      <c r="AI1001" s="59"/>
      <c r="AJ1001" s="91"/>
      <c r="AK1001" s="59"/>
      <c r="AO1001" s="59"/>
    </row>
    <row r="1002">
      <c r="P1002" s="59"/>
      <c r="AB1002" s="59"/>
      <c r="AD1002" s="59"/>
      <c r="AI1002" s="59"/>
      <c r="AJ1002" s="91"/>
      <c r="AK1002" s="59"/>
      <c r="AO1002" s="59"/>
    </row>
    <row r="1003">
      <c r="P1003" s="59"/>
      <c r="AB1003" s="59"/>
      <c r="AD1003" s="59"/>
      <c r="AI1003" s="59"/>
      <c r="AJ1003" s="91"/>
      <c r="AK1003" s="59"/>
      <c r="AO1003" s="59"/>
    </row>
    <row r="1004">
      <c r="P1004" s="59"/>
      <c r="AB1004" s="59"/>
      <c r="AD1004" s="59"/>
      <c r="AI1004" s="59"/>
      <c r="AJ1004" s="91"/>
      <c r="AK1004" s="59"/>
      <c r="AO1004" s="59"/>
    </row>
    <row r="1005">
      <c r="P1005" s="59"/>
      <c r="AB1005" s="59"/>
      <c r="AD1005" s="59"/>
      <c r="AI1005" s="59"/>
      <c r="AJ1005" s="91"/>
      <c r="AK1005" s="59"/>
      <c r="AO1005" s="59"/>
    </row>
    <row r="1006">
      <c r="P1006" s="59"/>
      <c r="AB1006" s="59"/>
      <c r="AD1006" s="59"/>
      <c r="AI1006" s="59"/>
      <c r="AJ1006" s="91"/>
      <c r="AK1006" s="59"/>
      <c r="AO1006" s="59"/>
    </row>
    <row r="1007">
      <c r="P1007" s="59"/>
      <c r="AB1007" s="59"/>
      <c r="AD1007" s="59"/>
      <c r="AI1007" s="59"/>
      <c r="AJ1007" s="91"/>
      <c r="AK1007" s="59"/>
      <c r="AO1007" s="59"/>
    </row>
    <row r="1008">
      <c r="P1008" s="59"/>
      <c r="AB1008" s="59"/>
      <c r="AD1008" s="59"/>
      <c r="AI1008" s="59"/>
      <c r="AJ1008" s="91"/>
      <c r="AK1008" s="59"/>
      <c r="AO1008" s="59"/>
    </row>
    <row r="1009">
      <c r="P1009" s="59"/>
      <c r="AB1009" s="59"/>
      <c r="AD1009" s="59"/>
      <c r="AI1009" s="59"/>
      <c r="AJ1009" s="91"/>
      <c r="AK1009" s="59"/>
      <c r="AO1009" s="59"/>
    </row>
    <row r="1010">
      <c r="P1010" s="59"/>
      <c r="AB1010" s="59"/>
      <c r="AD1010" s="59"/>
      <c r="AI1010" s="59"/>
      <c r="AJ1010" s="91"/>
      <c r="AK1010" s="59"/>
      <c r="AO1010" s="59"/>
    </row>
    <row r="1011">
      <c r="P1011" s="59"/>
      <c r="AB1011" s="59"/>
      <c r="AD1011" s="59"/>
      <c r="AI1011" s="59"/>
      <c r="AJ1011" s="91"/>
      <c r="AK1011" s="59"/>
      <c r="AO1011" s="59"/>
    </row>
    <row r="1012">
      <c r="P1012" s="59"/>
      <c r="AB1012" s="59"/>
      <c r="AD1012" s="59"/>
      <c r="AI1012" s="59"/>
      <c r="AJ1012" s="91"/>
      <c r="AK1012" s="59"/>
      <c r="AO1012" s="59"/>
    </row>
    <row r="1013">
      <c r="P1013" s="59"/>
      <c r="AB1013" s="59"/>
      <c r="AD1013" s="59"/>
      <c r="AI1013" s="59"/>
      <c r="AJ1013" s="91"/>
      <c r="AK1013" s="59"/>
      <c r="AO1013" s="59"/>
    </row>
    <row r="1014">
      <c r="P1014" s="59"/>
      <c r="AB1014" s="59"/>
      <c r="AD1014" s="59"/>
      <c r="AI1014" s="59"/>
      <c r="AJ1014" s="91"/>
      <c r="AK1014" s="59"/>
      <c r="AO1014" s="59"/>
    </row>
    <row r="1015">
      <c r="P1015" s="59"/>
      <c r="AB1015" s="59"/>
      <c r="AD1015" s="59"/>
      <c r="AI1015" s="59"/>
      <c r="AJ1015" s="91"/>
      <c r="AK1015" s="59"/>
      <c r="AO1015" s="59"/>
    </row>
    <row r="1016">
      <c r="P1016" s="59"/>
      <c r="AB1016" s="59"/>
      <c r="AD1016" s="59"/>
      <c r="AI1016" s="59"/>
      <c r="AJ1016" s="91"/>
      <c r="AK1016" s="59"/>
      <c r="AO1016" s="59"/>
    </row>
    <row r="1017">
      <c r="P1017" s="59"/>
      <c r="AB1017" s="59"/>
      <c r="AD1017" s="59"/>
      <c r="AI1017" s="59"/>
      <c r="AJ1017" s="91"/>
      <c r="AK1017" s="59"/>
      <c r="AO1017" s="59"/>
    </row>
    <row r="1018">
      <c r="P1018" s="59"/>
      <c r="AB1018" s="59"/>
      <c r="AD1018" s="59"/>
      <c r="AI1018" s="59"/>
      <c r="AJ1018" s="91"/>
      <c r="AK1018" s="59"/>
      <c r="AO1018" s="59"/>
    </row>
    <row r="1019">
      <c r="P1019" s="59"/>
      <c r="AB1019" s="59"/>
      <c r="AD1019" s="59"/>
      <c r="AI1019" s="59"/>
      <c r="AJ1019" s="91"/>
      <c r="AK1019" s="59"/>
      <c r="AO1019" s="59"/>
    </row>
    <row r="1020">
      <c r="P1020" s="59"/>
      <c r="AB1020" s="59"/>
      <c r="AD1020" s="59"/>
      <c r="AI1020" s="59"/>
      <c r="AJ1020" s="100"/>
      <c r="AK1020" s="59"/>
      <c r="AO1020" s="59"/>
    </row>
  </sheetData>
  <mergeCells count="1">
    <mergeCell ref="E2:AI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6"/>
      <c r="B1" s="101" t="s">
        <v>202</v>
      </c>
      <c r="C1" s="101">
        <v>1.0</v>
      </c>
      <c r="G1" s="101">
        <v>2.0</v>
      </c>
      <c r="K1" s="6"/>
      <c r="L1" s="6"/>
      <c r="M1" s="6"/>
      <c r="N1" s="6"/>
      <c r="O1" s="6"/>
      <c r="P1" s="6"/>
      <c r="Q1" s="6"/>
      <c r="R1" s="6"/>
      <c r="S1" s="6"/>
      <c r="T1" s="6"/>
      <c r="U1" s="6"/>
      <c r="V1" s="6"/>
      <c r="W1" s="6"/>
      <c r="X1" s="6"/>
      <c r="Y1" s="6"/>
      <c r="Z1" s="6"/>
    </row>
    <row r="2">
      <c r="A2" s="6" t="s">
        <v>203</v>
      </c>
      <c r="B2" s="6"/>
      <c r="C2" s="6">
        <v>1.0</v>
      </c>
      <c r="D2" s="6">
        <v>2.0</v>
      </c>
      <c r="E2" s="6">
        <v>3.0</v>
      </c>
      <c r="F2" s="6">
        <v>4.0</v>
      </c>
      <c r="G2" s="6">
        <v>5.0</v>
      </c>
      <c r="H2" s="6">
        <v>6.0</v>
      </c>
      <c r="I2" s="6">
        <v>7.0</v>
      </c>
      <c r="J2" s="6">
        <v>8.0</v>
      </c>
      <c r="K2" s="6">
        <v>9.0</v>
      </c>
      <c r="L2" s="6">
        <v>10.0</v>
      </c>
      <c r="M2" s="6">
        <v>11.0</v>
      </c>
      <c r="N2" s="6">
        <v>12.0</v>
      </c>
      <c r="O2" s="6">
        <v>13.0</v>
      </c>
      <c r="P2" s="6">
        <v>14.0</v>
      </c>
      <c r="Q2" s="6">
        <v>15.0</v>
      </c>
      <c r="R2" s="6">
        <v>16.0</v>
      </c>
      <c r="S2" s="6">
        <v>17.0</v>
      </c>
      <c r="T2" s="6">
        <v>18.0</v>
      </c>
      <c r="U2" s="6">
        <v>19.0</v>
      </c>
      <c r="V2" s="6">
        <v>20.0</v>
      </c>
      <c r="W2" s="6">
        <v>21.0</v>
      </c>
      <c r="X2" s="6">
        <v>22.0</v>
      </c>
      <c r="Y2" s="6">
        <v>23.0</v>
      </c>
      <c r="Z2" s="6">
        <v>24.0</v>
      </c>
    </row>
    <row r="3">
      <c r="A3" s="1" t="s">
        <v>204</v>
      </c>
      <c r="B3" s="6"/>
    </row>
    <row r="4">
      <c r="A4" s="6" t="s">
        <v>205</v>
      </c>
      <c r="B4" s="6"/>
      <c r="C4" s="102"/>
    </row>
    <row r="5">
      <c r="A5" s="6" t="s">
        <v>206</v>
      </c>
      <c r="B5" s="6" t="s">
        <v>207</v>
      </c>
      <c r="D5" s="103"/>
      <c r="E5" s="103"/>
      <c r="F5" s="103"/>
      <c r="G5" s="103"/>
    </row>
    <row r="6">
      <c r="A6" s="6" t="s">
        <v>208</v>
      </c>
      <c r="B6" s="6" t="s">
        <v>207</v>
      </c>
      <c r="H6" s="103"/>
      <c r="I6" s="103"/>
    </row>
    <row r="7">
      <c r="A7" s="6" t="s">
        <v>209</v>
      </c>
      <c r="B7" s="6"/>
      <c r="D7" s="103"/>
      <c r="E7" s="103"/>
      <c r="F7" s="103"/>
      <c r="G7" s="103"/>
    </row>
    <row r="8">
      <c r="A8" s="6" t="s">
        <v>206</v>
      </c>
      <c r="B8" s="6" t="s">
        <v>210</v>
      </c>
      <c r="D8" s="103"/>
      <c r="E8" s="103"/>
      <c r="F8" s="103"/>
      <c r="G8" s="103"/>
    </row>
    <row r="9">
      <c r="A9" s="6" t="s">
        <v>208</v>
      </c>
      <c r="D9" s="103"/>
      <c r="E9" s="103"/>
      <c r="F9" s="103"/>
      <c r="G9" s="103"/>
    </row>
  </sheetData>
  <mergeCells count="2">
    <mergeCell ref="C1:F1"/>
    <mergeCell ref="G1:J1"/>
  </mergeCells>
  <drawing r:id="rId1"/>
</worksheet>
</file>