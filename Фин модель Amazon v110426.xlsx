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l" sheetId="1" r:id="rId4"/>
    <sheet state="hidden" name="main" sheetId="2" r:id="rId5"/>
    <sheet state="visible" name="fin mod v.2" sheetId="3" r:id="rId6"/>
    <sheet state="hidden" name="fin mod" sheetId="4" r:id="rId7"/>
    <sheet state="visible" name="Заводы + Юнит эк." sheetId="5" r:id="rId8"/>
    <sheet state="hidden" name="Лист3" sheetId="6" r:id="rId9"/>
    <sheet state="hidden" name="fin mod (копия) Vitalii" sheetId="7" r:id="rId10"/>
    <sheet state="visible" name="payroll" sheetId="8" r:id="rId11"/>
  </sheets>
  <definedNames/>
  <calcPr/>
  <extLst>
    <ext uri="GoogleSheetsCustomDataVersion2">
      <go:sheetsCustomData xmlns:go="http://customooxmlschemas.google.com/" r:id="rId12" roundtripDataChecksum="GsMIjUu81hwb/8MlE3C3qWlN79E3yYG2W+0BcLxXoD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B3">
      <text>
        <t xml:space="preserve">======
ID#AAAB4cdAM5s
Arseniy Renatovich Manushkin    (2026-04-16 12:25:12)
Расходы категории прочие: подписки, сервисвсы, создание сайта, заказ образцов итд</t>
      </text>
    </comment>
    <comment authorId="0" ref="BA3">
      <text>
        <t xml:space="preserve">======
ID#AAAB4cdAM5o
Arseniy Renatovich Manushkin    (2026-04-16 12:24:20)
Расходы на содержание ЮЛ и регистрационые действия: ТЗ, этикетки итд</t>
      </text>
    </comment>
    <comment authorId="0" ref="AZ3">
      <text>
        <t xml:space="preserve">======
ID#AAAB4cdAM5k
Arseniy Renatovich Manushkin    (2026-04-16 12:23:34)
ФОТ</t>
      </text>
    </comment>
    <comment authorId="0" ref="AY3">
      <text>
        <t xml:space="preserve">======
ID#AAAB4cdAM5g
Arseniy Renatovich Manushkin    (2026-04-16 12:23:11)
Расходы на логистику и FBO</t>
      </text>
    </comment>
    <comment authorId="0" ref="AX3">
      <text>
        <t xml:space="preserve">======
ID#AAAB4cdAM5c
Arseniy Renatovich Manushkin    (2026-04-16 12:23:00)
стоимость привлечения</t>
      </text>
    </comment>
    <comment authorId="0" ref="AW3">
      <text>
        <t xml:space="preserve">======
ID#AAAB4cdAM5Y
Arseniy Renatovich Manushkin    (2026-04-16 12:22:48)
Комиссия Амазон</t>
      </text>
    </comment>
    <comment authorId="0" ref="AQ3">
      <text>
        <t xml:space="preserve">======
ID#AAAB4cdAM5U
Arseniy Renatovich Manushkin    (2026-04-16 12:22:36)
Операционные расходы + себестоимость</t>
      </text>
    </comment>
    <comment authorId="0" ref="AP3">
      <text>
        <t xml:space="preserve">======
ID#AAAB4cdAM5Q
Arseniy Renatovich Manushkin    (2026-04-16 12:22:17)
Операционные расходы</t>
      </text>
    </comment>
    <comment authorId="0" ref="AO3">
      <text>
        <t xml:space="preserve">======
ID#AAAB4cdAM5M
Arseniy Renatovich Manushkin    (2026-04-16 12:22:03)
себестоимость без НДС</t>
      </text>
    </comment>
    <comment authorId="0" ref="AN3">
      <text>
        <t xml:space="preserve">======
ID#AAAB4cdAM5I
Arseniy Renatovich Manushkin    (2026-04-16 12:21:47)
средневзвешенная цена по категории на Амазон</t>
      </text>
    </comment>
    <comment authorId="0" ref="AF8">
      <text>
        <t xml:space="preserve">======
ID#AAAB4cdAM5E
Arseniy Renatovich Manushkin    (2026-04-16 12:06:55)
кусочки</t>
      </text>
    </comment>
    <comment authorId="0" ref="Y7">
      <text>
        <t xml:space="preserve">======
ID#AAAB4cdAM4Q
Arseniy Renatovich Manushkin    (2026-04-16 10:37:27)
tablets - not chews</t>
      </text>
    </comment>
    <comment authorId="0" ref="Y4">
      <text>
        <t xml:space="preserve">======
ID#AAAB4cdAM3o
Arseniy Renatovich Manushkin    (2026-04-16 09:56:50)
1000mg</t>
      </text>
    </comment>
    <comment authorId="0" ref="Y5">
      <text>
        <t xml:space="preserve">======
ID#AAAB3LdfLTc
Arseniy Renatovich Manushkin    (2026-04-11 18:59:18)
тут бисглицинат а не цитрат, хорошее приемуество для органических продаж
------
ID#AAAB4cdAM3s
Arseniy Renatovich Manushkin    (2026-04-16 09:57:33)
200mg</t>
      </text>
    </comment>
  </commentList>
  <extLst>
    <ext uri="GoogleSheetsCustomDataVersion2">
      <go:sheetsCustomData xmlns:go="http://customooxmlschemas.google.com/" r:id="rId1" roundtripDataSignature="AMtx7mgYvTRBPjGowU1skSl6RjWKrMWx0g=="/>
    </ext>
  </extLst>
</comments>
</file>

<file path=xl/sharedStrings.xml><?xml version="1.0" encoding="utf-8"?>
<sst xmlns="http://schemas.openxmlformats.org/spreadsheetml/2006/main" count="684" uniqueCount="393">
  <si>
    <t>"+" GSV (CAB)</t>
  </si>
  <si>
    <t>Gross Sales Value</t>
  </si>
  <si>
    <t>=</t>
  </si>
  <si>
    <t>Price list w/o VAT * Qty</t>
  </si>
  <si>
    <t>price list w/o VAT</t>
  </si>
  <si>
    <t>(Price list with VAT)/(100%+VAT)*100%</t>
  </si>
  <si>
    <t>"-"  On invoice discount</t>
  </si>
  <si>
    <t>On</t>
  </si>
  <si>
    <t>Discounts on the invoices</t>
  </si>
  <si>
    <t>"+" Invoiced Sales (CAF)</t>
  </si>
  <si>
    <t>Invoiced Sales</t>
  </si>
  <si>
    <t>GSV - On * Qty</t>
  </si>
  <si>
    <t>"-"  Off invoice discount</t>
  </si>
  <si>
    <t>Off</t>
  </si>
  <si>
    <t>Retro bonuses (distributors)</t>
  </si>
  <si>
    <t>"-"  Trade support</t>
  </si>
  <si>
    <t>Trade</t>
  </si>
  <si>
    <t>Pharmacy chains</t>
  </si>
  <si>
    <t>"+"  CANN (NSV)</t>
  </si>
  <si>
    <t>Net sales value</t>
  </si>
  <si>
    <t>GSV - On - OFF - Trade</t>
  </si>
  <si>
    <t>NSP</t>
  </si>
  <si>
    <t>Net sales price</t>
  </si>
  <si>
    <t>CANN/Qty</t>
  </si>
  <si>
    <t>"-"  COGS</t>
  </si>
  <si>
    <t>Cost of goods sold</t>
  </si>
  <si>
    <t>TP2+CD-IPU</t>
  </si>
  <si>
    <t>Managerial COGS</t>
  </si>
  <si>
    <t>TP2 + CD -IPU</t>
  </si>
  <si>
    <t>Operational COGS</t>
  </si>
  <si>
    <t>TP2 + CD</t>
  </si>
  <si>
    <t>TP2</t>
  </si>
  <si>
    <t>SCP+PTC+IPU</t>
  </si>
  <si>
    <t>SCP</t>
  </si>
  <si>
    <t>Statistical cost price</t>
  </si>
  <si>
    <t>PTC</t>
  </si>
  <si>
    <t>Premier transport cost</t>
  </si>
  <si>
    <t>IPU</t>
  </si>
  <si>
    <t>Extra charge (2012 =38%)</t>
  </si>
  <si>
    <t>CD</t>
  </si>
  <si>
    <t>Custom Duties (2012 = 15,15%)</t>
  </si>
  <si>
    <t>"-"   Logistics costs</t>
  </si>
  <si>
    <t>Log</t>
  </si>
  <si>
    <t xml:space="preserve">costs of logistics department </t>
  </si>
  <si>
    <t>"+" CO</t>
  </si>
  <si>
    <t>Margin on Operations</t>
  </si>
  <si>
    <t>CANN - COGS - Log</t>
  </si>
  <si>
    <t>"-" Marketing</t>
  </si>
  <si>
    <t>A&amp;P</t>
  </si>
  <si>
    <t>A&amp;P costs</t>
  </si>
  <si>
    <t>"+" Net Product Contribution</t>
  </si>
  <si>
    <t>CO - A&amp;P</t>
  </si>
  <si>
    <t>"-" Sales Force</t>
  </si>
  <si>
    <t>SF</t>
  </si>
  <si>
    <t>Sales force costs</t>
  </si>
  <si>
    <t>"+" Net Channel Contribution</t>
  </si>
  <si>
    <t>CO - A&amp;P - SF</t>
  </si>
  <si>
    <t>"-" Overheads</t>
  </si>
  <si>
    <t>OVHDS</t>
  </si>
  <si>
    <t>OVHDs costs</t>
  </si>
  <si>
    <t xml:space="preserve"> "+" Trading Operating Income </t>
  </si>
  <si>
    <t xml:space="preserve">ROP </t>
  </si>
  <si>
    <t>CO - A&amp;P - SF - OVHDs</t>
  </si>
  <si>
    <t>CO/CANN</t>
  </si>
  <si>
    <t>ROP/CANN</t>
  </si>
  <si>
    <t>Year</t>
  </si>
  <si>
    <t>Month</t>
  </si>
  <si>
    <t>Q1</t>
  </si>
  <si>
    <t>Q2</t>
  </si>
  <si>
    <t>Q3</t>
  </si>
  <si>
    <t>Q4</t>
  </si>
  <si>
    <t>Operational</t>
  </si>
  <si>
    <t>Количество новых скачиваний</t>
  </si>
  <si>
    <t>Количество скачиваний итого</t>
  </si>
  <si>
    <t>Прирост скачиваний</t>
  </si>
  <si>
    <t>Конверсия в платную подписку</t>
  </si>
  <si>
    <t>Новые подписки</t>
  </si>
  <si>
    <t>Подписчики итого</t>
  </si>
  <si>
    <t>Campaign</t>
  </si>
  <si>
    <t>Campaign costs</t>
  </si>
  <si>
    <t xml:space="preserve"> </t>
  </si>
  <si>
    <t>CPA</t>
  </si>
  <si>
    <t>показы Impressions</t>
  </si>
  <si>
    <t>стоимость показа CPM</t>
  </si>
  <si>
    <t>CTR</t>
  </si>
  <si>
    <t>Clicks</t>
  </si>
  <si>
    <t>CPC</t>
  </si>
  <si>
    <t>CR to download</t>
  </si>
  <si>
    <t>paid downloads</t>
  </si>
  <si>
    <t>organic downloads</t>
  </si>
  <si>
    <t>referal downloads</t>
  </si>
  <si>
    <t>total downloads</t>
  </si>
  <si>
    <t>CR to payemnt after trial</t>
  </si>
  <si>
    <t>новые подписчики мес</t>
  </si>
  <si>
    <t>новые подписчики кампания ;мес(</t>
  </si>
  <si>
    <t>итого подписчики</t>
  </si>
  <si>
    <t>mrr</t>
  </si>
  <si>
    <t>Годовая подписка</t>
  </si>
  <si>
    <t>Процент возврата на подписку</t>
  </si>
  <si>
    <t>Количество повторных подписчиков</t>
  </si>
  <si>
    <t>Выручка первичные оплаты</t>
  </si>
  <si>
    <t>Выручка вторичные оплаты</t>
  </si>
  <si>
    <t>GSV total</t>
  </si>
  <si>
    <t>динамика</t>
  </si>
  <si>
    <t>Marketing</t>
  </si>
  <si>
    <t>Количество лидов</t>
  </si>
  <si>
    <t xml:space="preserve">Cost per lead (CPL) </t>
  </si>
  <si>
    <t>CR% from lead to customer</t>
  </si>
  <si>
    <t>Cost per customer (CAC)</t>
  </si>
  <si>
    <t>Marketing campaign rate</t>
  </si>
  <si>
    <t>Marketing budget</t>
  </si>
  <si>
    <t>Payroll</t>
  </si>
  <si>
    <t>Front-end dev</t>
  </si>
  <si>
    <t>UI/UX Designer</t>
  </si>
  <si>
    <t>Marketing manager</t>
  </si>
  <si>
    <t>Finance manager</t>
  </si>
  <si>
    <t>Outsource travel experts</t>
  </si>
  <si>
    <t>salary scale</t>
  </si>
  <si>
    <t>engineer</t>
  </si>
  <si>
    <t>designer</t>
  </si>
  <si>
    <t>marketing manager</t>
  </si>
  <si>
    <t>accountant</t>
  </si>
  <si>
    <t>outsource travel expert</t>
  </si>
  <si>
    <t>total HR costs</t>
  </si>
  <si>
    <t>server, software licences, other ovhds</t>
  </si>
  <si>
    <t>app store \ g store comission 15%</t>
  </si>
  <si>
    <t>Banking</t>
  </si>
  <si>
    <t>эквайринг</t>
  </si>
  <si>
    <t>banking commision</t>
  </si>
  <si>
    <t>Taxes</t>
  </si>
  <si>
    <t>corporate tax</t>
  </si>
  <si>
    <t>GSV</t>
  </si>
  <si>
    <t>NSV</t>
  </si>
  <si>
    <t>COGS+ovhds</t>
  </si>
  <si>
    <t>доля COGS от выручки</t>
  </si>
  <si>
    <t>tax</t>
  </si>
  <si>
    <t>CANN</t>
  </si>
  <si>
    <t>nett profit</t>
  </si>
  <si>
    <t>investments</t>
  </si>
  <si>
    <t>cashflow</t>
  </si>
  <si>
    <t>cumulative net profit</t>
  </si>
  <si>
    <t>Margin</t>
  </si>
  <si>
    <t>ROI</t>
  </si>
  <si>
    <t>36 months</t>
  </si>
  <si>
    <t>Quarter Revenue</t>
  </si>
  <si>
    <t>Quarter Balance</t>
  </si>
  <si>
    <t>User acquisition</t>
  </si>
  <si>
    <t>Compaigns costs</t>
  </si>
  <si>
    <t>x1000</t>
  </si>
  <si>
    <t>CPM</t>
  </si>
  <si>
    <t>Impressions</t>
  </si>
  <si>
    <t>CPC eur.</t>
  </si>
  <si>
    <t>CR to Download</t>
  </si>
  <si>
    <t>New supscriptions from ads</t>
  </si>
  <si>
    <t>CAC</t>
  </si>
  <si>
    <t>Paid downloads</t>
  </si>
  <si>
    <t>Activation</t>
  </si>
  <si>
    <t>Organic downloads</t>
  </si>
  <si>
    <t>Referal downloads</t>
  </si>
  <si>
    <t>All downloads</t>
  </si>
  <si>
    <t>Conversion rate (to supscription)</t>
  </si>
  <si>
    <t>All new subscriptions</t>
  </si>
  <si>
    <t>Secondary subpscriptions</t>
  </si>
  <si>
    <t>All quarterly subscriptions</t>
  </si>
  <si>
    <t>add trial</t>
  </si>
  <si>
    <t>Retention</t>
  </si>
  <si>
    <t>retention rate</t>
  </si>
  <si>
    <t>Total subscribers</t>
  </si>
  <si>
    <t>Revenue</t>
  </si>
  <si>
    <t>Subscription price yearly</t>
  </si>
  <si>
    <r>
      <rPr>
        <rFont val="Calibri"/>
        <b/>
        <color theme="1"/>
        <sz val="12.0"/>
      </rPr>
      <t>Quater</t>
    </r>
    <r>
      <rPr>
        <rFont val="Calibri"/>
        <color theme="1"/>
        <sz val="12.0"/>
      </rPr>
      <t xml:space="preserve"> recurring revenue</t>
    </r>
  </si>
  <si>
    <t>Investments</t>
  </si>
  <si>
    <t>Costs</t>
  </si>
  <si>
    <t>Marketing cost</t>
  </si>
  <si>
    <t>Costs of payment processing</t>
  </si>
  <si>
    <t>Tax rate</t>
  </si>
  <si>
    <t>Total costs</t>
  </si>
  <si>
    <t>CASHFLOW</t>
  </si>
  <si>
    <t>profit</t>
  </si>
  <si>
    <t>* все суммы указаны в Евро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</si>
  <si>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</si>
  <si>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</si>
  <si>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</si>
  <si>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</si>
  <si>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</si>
  <si>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</si>
  <si>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</si>
  <si>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</si>
  <si>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</si>
  <si>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</si>
  <si>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</si>
  <si>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</si>
  <si>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explanation</t>
  </si>
  <si>
    <t>Бюджет создание контента</t>
  </si>
  <si>
    <t>Единиц контента (ролики)</t>
  </si>
  <si>
    <t>Стоимость ролика</t>
  </si>
  <si>
    <t>Количество аккаунтов</t>
  </si>
  <si>
    <t>Охват ролика</t>
  </si>
  <si>
    <t>Общий охват</t>
  </si>
  <si>
    <t>Клики</t>
  </si>
  <si>
    <t>CR</t>
  </si>
  <si>
    <t>Заказы</t>
  </si>
  <si>
    <t>CPA EUR</t>
  </si>
  <si>
    <t>AOV</t>
  </si>
  <si>
    <t>заказы органика</t>
  </si>
  <si>
    <t>заказы контент завод</t>
  </si>
  <si>
    <t>заказы повторные</t>
  </si>
  <si>
    <t>итого заказы</t>
  </si>
  <si>
    <t>процент повторных заказов</t>
  </si>
  <si>
    <t>средний чек в евро</t>
  </si>
  <si>
    <t>выручка в евро б/ндс</t>
  </si>
  <si>
    <t>ROAS</t>
  </si>
  <si>
    <t>ДРР</t>
  </si>
  <si>
    <t>Расходы на маркетинг</t>
  </si>
  <si>
    <t>Создание контента</t>
  </si>
  <si>
    <t>Технические расходы</t>
  </si>
  <si>
    <t>ФОТ</t>
  </si>
  <si>
    <t>Коммерческие расходы</t>
  </si>
  <si>
    <t>Производство продукции</t>
  </si>
  <si>
    <t>Регистрационные взносы</t>
  </si>
  <si>
    <t>Консультанты</t>
  </si>
  <si>
    <t>софт, подписки, опер расходы</t>
  </si>
  <si>
    <t>Комиссия Амазон</t>
  </si>
  <si>
    <t>Комиссия Амазон евро</t>
  </si>
  <si>
    <t>Logistics</t>
  </si>
  <si>
    <t>Доставка амазон-завод за ед</t>
  </si>
  <si>
    <t>FBO Amazon за ед</t>
  </si>
  <si>
    <t>Хранение Amazon за ед</t>
  </si>
  <si>
    <t>Хранение Amazon за тотал</t>
  </si>
  <si>
    <t>Аренда склада</t>
  </si>
  <si>
    <t>Логистика Завод - Склад</t>
  </si>
  <si>
    <t>Логистика Склад - Амазон</t>
  </si>
  <si>
    <t>Legal</t>
  </si>
  <si>
    <t>опер расходы ЮЛ блг</t>
  </si>
  <si>
    <t>опер расходы ЮЛ гк</t>
  </si>
  <si>
    <t>расходы на регистрацию</t>
  </si>
  <si>
    <t>расходы банкинг</t>
  </si>
  <si>
    <t>Регистрация ТМ</t>
  </si>
  <si>
    <t>Итого расходы</t>
  </si>
  <si>
    <t>EBITDA</t>
  </si>
  <si>
    <t>Taxes EUR</t>
  </si>
  <si>
    <t>Gross profit</t>
  </si>
  <si>
    <t>stock</t>
  </si>
  <si>
    <t>Бюджет маркетинг</t>
  </si>
  <si>
    <t>Marketing cost rate</t>
  </si>
  <si>
    <t>Marketing costs EUR</t>
  </si>
  <si>
    <t>* All prices in EURO</t>
  </si>
  <si>
    <t>Merywood</t>
  </si>
  <si>
    <t>MillMax</t>
  </si>
  <si>
    <t>ERA</t>
  </si>
  <si>
    <t>Nutriliq</t>
  </si>
  <si>
    <t>Scenario 2</t>
  </si>
  <si>
    <t>Brand</t>
  </si>
  <si>
    <t>SKU</t>
  </si>
  <si>
    <t>Substance</t>
  </si>
  <si>
    <t>Form</t>
  </si>
  <si>
    <t>Volume</t>
  </si>
  <si>
    <t>Pack</t>
  </si>
  <si>
    <t>Additional label</t>
  </si>
  <si>
    <t>Face label language</t>
  </si>
  <si>
    <t>additional languages</t>
  </si>
  <si>
    <t>MOQ</t>
  </si>
  <si>
    <r>
      <rPr>
        <rFont val="Arial"/>
        <color theme="1"/>
        <sz val="10.0"/>
      </rPr>
      <t xml:space="preserve">price per SKU </t>
    </r>
    <r>
      <rPr>
        <rFont val="Arial"/>
        <b/>
        <color theme="1"/>
        <sz val="10.0"/>
      </rPr>
      <t>(w/o VAT)</t>
    </r>
  </si>
  <si>
    <t>price per SKU</t>
  </si>
  <si>
    <t>VAT</t>
  </si>
  <si>
    <t>MOQ COST</t>
  </si>
  <si>
    <t>LT (weeks)</t>
  </si>
  <si>
    <t>Comment</t>
  </si>
  <si>
    <r>
      <rPr>
        <rFont val="Arial"/>
        <color theme="1"/>
        <sz val="10.0"/>
      </rPr>
      <t xml:space="preserve">price per SKU </t>
    </r>
    <r>
      <rPr>
        <rFont val="Arial"/>
        <b/>
        <color theme="1"/>
        <sz val="10.0"/>
      </rPr>
      <t>(w/o VAT)</t>
    </r>
  </si>
  <si>
    <r>
      <rPr>
        <rFont val="Arial"/>
        <color theme="1"/>
        <sz val="10.0"/>
      </rPr>
      <t xml:space="preserve">price per SKU </t>
    </r>
    <r>
      <rPr>
        <rFont val="Arial"/>
        <b/>
        <color theme="1"/>
        <sz val="10.0"/>
      </rPr>
      <t>(w/o VAT)</t>
    </r>
  </si>
  <si>
    <r>
      <rPr>
        <rFont val="Arial"/>
        <color theme="1"/>
        <sz val="10.0"/>
      </rPr>
      <t xml:space="preserve">price per SKU </t>
    </r>
    <r>
      <rPr>
        <rFont val="Arial"/>
        <b/>
        <color theme="1"/>
        <sz val="10.0"/>
      </rPr>
      <t>(w/o VAT)</t>
    </r>
  </si>
  <si>
    <t>Маржа: себес / РРЦ</t>
  </si>
  <si>
    <t>AVG amazon price w/o VAT</t>
  </si>
  <si>
    <t>COGS w/o VAT</t>
  </si>
  <si>
    <t>OPEX</t>
  </si>
  <si>
    <t>OPEX+COGS</t>
  </si>
  <si>
    <t>Gross profit EUR (до налогов)</t>
  </si>
  <si>
    <t>Gross margin (до налогов)</t>
  </si>
  <si>
    <t>Amazon comission</t>
  </si>
  <si>
    <t>Commercial others</t>
  </si>
  <si>
    <t>Payroll EUR</t>
  </si>
  <si>
    <t>Amazon comission EUR</t>
  </si>
  <si>
    <t>Logistics EUR</t>
  </si>
  <si>
    <t>Legal EUR</t>
  </si>
  <si>
    <t>Commerical EUR</t>
  </si>
  <si>
    <t>База для расчета налога EUR</t>
  </si>
  <si>
    <t>Ставка налога в Болгарии Corporate tax</t>
  </si>
  <si>
    <t>Налог к уплате EUR</t>
  </si>
  <si>
    <t>Прибыль после уплаты налога</t>
  </si>
  <si>
    <t>Маржинальность после уплаты налога</t>
  </si>
  <si>
    <t>QEEP</t>
  </si>
  <si>
    <t>Inositol</t>
  </si>
  <si>
    <t>274 mg</t>
  </si>
  <si>
    <t>capsules</t>
  </si>
  <si>
    <t>180 pc</t>
  </si>
  <si>
    <t>Bottle</t>
  </si>
  <si>
    <t>peel-off</t>
  </si>
  <si>
    <t>DE</t>
  </si>
  <si>
    <t>EN, FR, IT, ES</t>
  </si>
  <si>
    <t>Sticker registration service</t>
  </si>
  <si>
    <t>Magnesium B6</t>
  </si>
  <si>
    <t>635mg</t>
  </si>
  <si>
    <t>Probiotic Detox</t>
  </si>
  <si>
    <t>60 pc</t>
  </si>
  <si>
    <t>Retinol cream</t>
  </si>
  <si>
    <t>cream</t>
  </si>
  <si>
    <t>30 ml</t>
  </si>
  <si>
    <t>Airless spray bottle</t>
  </si>
  <si>
    <t>infolist</t>
  </si>
  <si>
    <t>Exclusive 6-12 months</t>
  </si>
  <si>
    <t>Harly</t>
  </si>
  <si>
    <t>Dog Probiotic</t>
  </si>
  <si>
    <t>3g. chew</t>
  </si>
  <si>
    <t>soft chews</t>
  </si>
  <si>
    <t>Scenario 1</t>
  </si>
  <si>
    <t>Product</t>
  </si>
  <si>
    <t>Plant</t>
  </si>
  <si>
    <t>Cost</t>
  </si>
  <si>
    <t>Stock</t>
  </si>
  <si>
    <t>Pet Probiotic</t>
  </si>
  <si>
    <t>Millmax</t>
  </si>
  <si>
    <t>Коммент</t>
  </si>
  <si>
    <t>Сайт</t>
  </si>
  <si>
    <t>https://erascientifico.com</t>
  </si>
  <si>
    <t>https://nutriliq.eu/en/</t>
  </si>
  <si>
    <t>Локация</t>
  </si>
  <si>
    <t>Estonia</t>
  </si>
  <si>
    <t>Latvia</t>
  </si>
  <si>
    <t>Belgium</t>
  </si>
  <si>
    <t>Мин партия</t>
  </si>
  <si>
    <t>1000-3000</t>
  </si>
  <si>
    <t>Меривуд готовы сделать вайтлейбл 1000 шт. но их вайтлейбл состав похож на пустышку (например инозитол 25мг в капсуле, против 274 у нас в РФ версии.) Прайват лейбл только от 5000 шт.</t>
  </si>
  <si>
    <t>НДС</t>
  </si>
  <si>
    <t>условия оплаты</t>
  </si>
  <si>
    <t>предоплата</t>
  </si>
  <si>
    <t>60% предоплата</t>
  </si>
  <si>
    <t>50% предоплата, далее отсрочка 30д</t>
  </si>
  <si>
    <t>доставка до Амазон</t>
  </si>
  <si>
    <t>да</t>
  </si>
  <si>
    <t>хранение</t>
  </si>
  <si>
    <t>2 недели</t>
  </si>
  <si>
    <t>нет</t>
  </si>
  <si>
    <t>регистрация этикетки</t>
  </si>
  <si>
    <t>Эксклюзив на ТМ</t>
  </si>
  <si>
    <t>Ретинол 6 мес</t>
  </si>
  <si>
    <t>весь ассортимент</t>
  </si>
  <si>
    <t>нет пребиотика</t>
  </si>
  <si>
    <t>стоимость MOQ</t>
  </si>
  <si>
    <t>наличие сырья</t>
  </si>
  <si>
    <t>на заказ</t>
  </si>
  <si>
    <t>наличие</t>
  </si>
  <si>
    <t>Комментарии про завод</t>
  </si>
  <si>
    <t>Регистрируют этикетки под ключ, есть весь ассортимент, кроме собачьего пребиотика</t>
  </si>
  <si>
    <t>Возможны проблемы с качеством продукции (Информауция от товарки. Делают тесты)</t>
  </si>
  <si>
    <t>Сырье в наличии, работают быстро, регистрируют этикетки под ключ</t>
  </si>
  <si>
    <t>Sertificates f0r Amazon</t>
  </si>
  <si>
    <t>yes</t>
  </si>
  <si>
    <t>Sercificates for EU - all countries or local</t>
  </si>
  <si>
    <t>EU</t>
  </si>
  <si>
    <t>Price / LT</t>
  </si>
  <si>
    <t>Payment rems</t>
  </si>
  <si>
    <t>50% 30 days</t>
  </si>
  <si>
    <t>30 day</t>
  </si>
  <si>
    <t>Exclusive</t>
  </si>
  <si>
    <t>pick up - shipping</t>
  </si>
  <si>
    <t>Packaging - size for sticker</t>
  </si>
  <si>
    <t>included</t>
  </si>
  <si>
    <t>Assistance with stickers registration</t>
  </si>
  <si>
    <t>what is the flow to start - tming</t>
  </si>
  <si>
    <t>what is the production flow - substance on stock?</t>
  </si>
  <si>
    <t>pre pri podt lacto</t>
  </si>
  <si>
    <t xml:space="preserve">60pc 3 g </t>
  </si>
  <si>
    <t>2 week</t>
  </si>
  <si>
    <t>Client aqusition</t>
  </si>
  <si>
    <t>Конверсия из клика в заказ</t>
  </si>
  <si>
    <t>заказы платные</t>
  </si>
  <si>
    <t>выручка в евро</t>
  </si>
  <si>
    <t>taxes eur</t>
  </si>
  <si>
    <t>расходы на маркетинг</t>
  </si>
  <si>
    <t>warehouse rent</t>
  </si>
  <si>
    <t xml:space="preserve">CASHFLOW </t>
  </si>
  <si>
    <t>gross profit</t>
  </si>
  <si>
    <t>CASHFLOW 100k</t>
  </si>
  <si>
    <t>Total costs - marketing</t>
  </si>
  <si>
    <t>HEADCOUNT</t>
  </si>
  <si>
    <t>CDO</t>
  </si>
  <si>
    <t>Head of project</t>
  </si>
  <si>
    <t>PAYROLL</t>
  </si>
  <si>
    <t>tax avg</t>
  </si>
  <si>
    <t>add</t>
  </si>
  <si>
    <t>Client service spec.</t>
  </si>
  <si>
    <t>Total payroll nett</t>
  </si>
  <si>
    <t>Total payroll gorss (RAW)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</si>
</sst>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* #,##0_-;\-* #,##0_-;_-* &quot;-&quot;??_-;_-@"/>
    <numFmt numFmtId="165" formatCode="0.0%"/>
    <numFmt numFmtId="166" formatCode="_-* #,##0.00_-;\-* #,##0.00_-;_-* &quot;-&quot;??_-;_-@"/>
    <numFmt numFmtId="167" formatCode="_-* #,##0.0_-;\-* #,##0.0_-;_-* &quot;-&quot;??_-;_-@"/>
    <numFmt numFmtId="168" formatCode="_-* #,##0.00_-;\-* #,##0.00_-;_-* &quot;-&quot;??.00_-;_-@"/>
    <numFmt numFmtId="169" formatCode="d-m"/>
    <numFmt numFmtId="170" formatCode="#,##0.000000"/>
    <numFmt numFmtId="171" formatCode="#,##0.0"/>
    <numFmt numFmtId="172" formatCode="0.0"/>
  </numFmts>
  <fonts count="16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</font>
    <font>
      <b/>
      <sz val="12.0"/>
      <color theme="1"/>
      <name val="Calibri"/>
    </font>
    <font/>
    <font>
      <i/>
      <sz val="10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b/>
      <sz val="10.0"/>
      <color rgb="FF999999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595959"/>
        <bgColor rgb="FF59595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4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1" numFmtId="0" xfId="0" applyBorder="1" applyFill="1" applyFont="1"/>
    <xf borderId="1" fillId="4" fontId="1" numFmtId="164" xfId="0" applyBorder="1" applyFill="1" applyFont="1" applyNumberForma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0" fillId="0" fontId="1" numFmtId="164" xfId="0" applyFont="1" applyNumberFormat="1"/>
    <xf borderId="1" fillId="8" fontId="1" numFmtId="164" xfId="0" applyBorder="1" applyFill="1" applyFont="1" applyNumberFormat="1"/>
    <xf borderId="1" fillId="9" fontId="1" numFmtId="164" xfId="0" applyBorder="1" applyFill="1" applyFont="1" applyNumberForma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10" fontId="1" numFmtId="0" xfId="0" applyBorder="1" applyFill="1" applyFont="1"/>
    <xf borderId="0" fillId="0" fontId="1" numFmtId="9" xfId="0" applyFont="1" applyNumberFormat="1"/>
    <xf borderId="0" fillId="0" fontId="1" numFmtId="165" xfId="0" applyFont="1" applyNumberFormat="1"/>
    <xf borderId="1" fillId="10" fontId="1" numFmtId="165" xfId="0" applyBorder="1" applyFont="1" applyNumberFormat="1"/>
    <xf borderId="1" fillId="10" fontId="3" numFmtId="0" xfId="0" applyBorder="1" applyFont="1"/>
    <xf borderId="1" fillId="11" fontId="1" numFmtId="0" xfId="0" applyBorder="1" applyFill="1" applyFont="1"/>
    <xf borderId="1" fillId="11" fontId="1" numFmtId="164" xfId="0" applyBorder="1" applyFont="1" applyNumberFormat="1"/>
    <xf borderId="0" fillId="0" fontId="1" numFmtId="166" xfId="0" applyFont="1" applyNumberFormat="1"/>
    <xf borderId="1" fillId="10" fontId="1" numFmtId="166" xfId="0" applyBorder="1" applyFont="1" applyNumberFormat="1"/>
    <xf borderId="1" fillId="11" fontId="1" numFmtId="167" xfId="0" applyBorder="1" applyFont="1" applyNumberFormat="1"/>
    <xf borderId="1" fillId="11" fontId="1" numFmtId="10" xfId="0" applyBorder="1" applyFont="1" applyNumberFormat="1"/>
    <xf borderId="1" fillId="11" fontId="1" numFmtId="165" xfId="0" applyBorder="1" applyFont="1" applyNumberFormat="1"/>
    <xf borderId="1" fillId="11" fontId="1" numFmtId="166" xfId="0" applyBorder="1" applyFont="1" applyNumberFormat="1"/>
    <xf borderId="1" fillId="11" fontId="1" numFmtId="9" xfId="0" applyBorder="1" applyFont="1" applyNumberFormat="1"/>
    <xf borderId="0" fillId="0" fontId="1" numFmtId="167" xfId="0" applyFont="1" applyNumberFormat="1"/>
    <xf borderId="1" fillId="12" fontId="1" numFmtId="167" xfId="0" applyBorder="1" applyFill="1" applyFont="1" applyNumberFormat="1"/>
    <xf borderId="2" fillId="13" fontId="1" numFmtId="0" xfId="0" applyAlignment="1" applyBorder="1" applyFill="1" applyFont="1">
      <alignment horizontal="center"/>
    </xf>
    <xf borderId="3" fillId="0" fontId="4" numFmtId="0" xfId="0" applyBorder="1" applyFont="1"/>
    <xf borderId="1" fillId="9" fontId="1" numFmtId="0" xfId="0" applyBorder="1" applyFont="1"/>
    <xf borderId="1" fillId="5" fontId="1" numFmtId="164" xfId="0" applyBorder="1" applyFont="1" applyNumberFormat="1"/>
    <xf borderId="1" fillId="6" fontId="1" numFmtId="164" xfId="0" applyBorder="1" applyFont="1" applyNumberFormat="1"/>
    <xf borderId="1" fillId="7" fontId="1" numFmtId="164" xfId="0" applyBorder="1" applyFont="1" applyNumberFormat="1"/>
    <xf borderId="1" fillId="10" fontId="1" numFmtId="164" xfId="0" applyBorder="1" applyFont="1" applyNumberFormat="1"/>
    <xf borderId="0" fillId="0" fontId="3" numFmtId="0" xfId="0" applyFont="1"/>
    <xf borderId="1" fillId="7" fontId="1" numFmtId="166" xfId="0" applyBorder="1" applyFont="1" applyNumberFormat="1"/>
    <xf borderId="1" fillId="7" fontId="1" numFmtId="165" xfId="0" applyBorder="1" applyFont="1" applyNumberFormat="1"/>
    <xf borderId="1" fillId="7" fontId="1" numFmtId="9" xfId="0" applyBorder="1" applyFont="1" applyNumberFormat="1"/>
    <xf borderId="0" fillId="0" fontId="1" numFmtId="0" xfId="0" applyFont="1"/>
    <xf borderId="0" fillId="0" fontId="5" numFmtId="0" xfId="0" applyFont="1"/>
    <xf borderId="0" fillId="4" fontId="6" numFmtId="164" xfId="0" applyAlignment="1" applyFont="1" applyNumberFormat="1">
      <alignment horizontal="center"/>
    </xf>
    <xf borderId="0" fillId="5" fontId="6" numFmtId="164" xfId="0" applyAlignment="1" applyFont="1" applyNumberFormat="1">
      <alignment horizontal="center"/>
    </xf>
    <xf borderId="0" fillId="6" fontId="6" numFmtId="164" xfId="0" applyAlignment="1" applyFont="1" applyNumberFormat="1">
      <alignment horizontal="center"/>
    </xf>
    <xf borderId="0" fillId="7" fontId="6" numFmtId="164" xfId="0" applyAlignment="1" applyFont="1" applyNumberFormat="1">
      <alignment horizontal="center"/>
    </xf>
    <xf borderId="0" fillId="14" fontId="6" numFmtId="164" xfId="0" applyFill="1" applyFont="1" applyNumberFormat="1"/>
    <xf borderId="0" fillId="0" fontId="6" numFmtId="0" xfId="0" applyFont="1"/>
    <xf borderId="1" fillId="4" fontId="6" numFmtId="164" xfId="0" applyBorder="1" applyFont="1" applyNumberFormat="1"/>
    <xf borderId="1" fillId="5" fontId="6" numFmtId="164" xfId="0" applyBorder="1" applyFont="1" applyNumberFormat="1"/>
    <xf borderId="1" fillId="6" fontId="6" numFmtId="164" xfId="0" applyBorder="1" applyFont="1" applyNumberFormat="1"/>
    <xf borderId="1" fillId="7" fontId="6" numFmtId="164" xfId="0" applyBorder="1" applyFont="1" applyNumberFormat="1"/>
    <xf borderId="1" fillId="14" fontId="6" numFmtId="164" xfId="0" applyBorder="1" applyFont="1" applyNumberFormat="1"/>
    <xf borderId="0" fillId="0" fontId="6" numFmtId="164" xfId="0" applyFont="1" applyNumberFormat="1"/>
    <xf borderId="0" fillId="0" fontId="7" numFmtId="0" xfId="0" applyAlignment="1" applyFont="1">
      <alignment readingOrder="0"/>
    </xf>
    <xf borderId="0" fillId="0" fontId="6" numFmtId="168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0" xfId="0" applyFont="1" applyNumberFormat="1"/>
    <xf borderId="0" fillId="0" fontId="6" numFmtId="165" xfId="0" applyFont="1" applyNumberFormat="1"/>
    <xf borderId="0" fillId="0" fontId="6" numFmtId="3" xfId="0" applyFont="1" applyNumberFormat="1"/>
    <xf borderId="0" fillId="0" fontId="6" numFmtId="164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6" numFmtId="9" xfId="0" applyFont="1" applyNumberFormat="1"/>
    <xf borderId="0" fillId="0" fontId="6" numFmtId="3" xfId="0" applyAlignment="1" applyFont="1" applyNumberFormat="1">
      <alignment readingOrder="0"/>
    </xf>
    <xf borderId="0" fillId="0" fontId="6" numFmtId="9" xfId="0" applyAlignment="1" applyFont="1" applyNumberFormat="1">
      <alignment readingOrder="0"/>
    </xf>
    <xf borderId="0" fillId="0" fontId="6" numFmtId="168" xfId="0" applyFont="1" applyNumberFormat="1"/>
    <xf borderId="0" fillId="0" fontId="7" numFmtId="0" xfId="0" applyFont="1"/>
    <xf borderId="0" fillId="0" fontId="6" numFmtId="166" xfId="0" applyFont="1" applyNumberForma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4" xfId="0" applyAlignment="1" applyFont="1" applyNumberFormat="1">
      <alignment readingOrder="0"/>
    </xf>
    <xf borderId="0" fillId="0" fontId="6" numFmtId="167" xfId="0" applyFont="1" applyNumberFormat="1"/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8" numFmtId="0" xfId="0" applyFont="1"/>
    <xf borderId="0" fillId="0" fontId="9" numFmtId="0" xfId="0" applyFont="1"/>
    <xf borderId="0" fillId="0" fontId="6" numFmtId="4" xfId="0" applyFont="1" applyNumberFormat="1"/>
    <xf borderId="4" fillId="15" fontId="6" numFmtId="164" xfId="0" applyAlignment="1" applyBorder="1" applyFill="1" applyFont="1" applyNumberFormat="1">
      <alignment horizontal="center"/>
    </xf>
    <xf borderId="5" fillId="0" fontId="4" numFmtId="0" xfId="0" applyBorder="1" applyFont="1"/>
    <xf borderId="6" fillId="0" fontId="4" numFmtId="0" xfId="0" applyBorder="1" applyFont="1"/>
    <xf borderId="4" fillId="15" fontId="6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7" fillId="15" fontId="6" numFmtId="164" xfId="0" applyAlignment="1" applyBorder="1" applyFont="1" applyNumberFormat="1">
      <alignment horizontal="center" shrinkToFit="0" vertical="center" wrapText="1"/>
    </xf>
    <xf borderId="8" fillId="15" fontId="6" numFmtId="164" xfId="0" applyAlignment="1" applyBorder="1" applyFont="1" applyNumberFormat="1">
      <alignment horizontal="center" shrinkToFit="0" vertical="center" wrapText="1"/>
    </xf>
    <xf borderId="9" fillId="15" fontId="6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5" xfId="0" applyAlignment="1" applyFont="1" applyNumberFormat="1">
      <alignment horizontal="center" shrinkToFit="0" vertical="center" wrapText="1"/>
    </xf>
    <xf borderId="4" fillId="0" fontId="6" numFmtId="164" xfId="0" applyAlignment="1" applyBorder="1" applyFont="1" applyNumberFormat="1">
      <alignment readingOrder="0"/>
    </xf>
    <xf borderId="5" fillId="0" fontId="6" numFmtId="4" xfId="0" applyAlignment="1" applyBorder="1" applyFont="1" applyNumberFormat="1">
      <alignment readingOrder="0"/>
    </xf>
    <xf borderId="5" fillId="0" fontId="6" numFmtId="4" xfId="0" applyBorder="1" applyFont="1" applyNumberFormat="1"/>
    <xf borderId="5" fillId="0" fontId="6" numFmtId="9" xfId="0" applyAlignment="1" applyBorder="1" applyFont="1" applyNumberFormat="1">
      <alignment readingOrder="0"/>
    </xf>
    <xf borderId="5" fillId="0" fontId="6" numFmtId="164" xfId="0" applyBorder="1" applyFont="1" applyNumberFormat="1"/>
    <xf borderId="5" fillId="0" fontId="6" numFmtId="169" xfId="0" applyBorder="1" applyFont="1" applyNumberFormat="1"/>
    <xf borderId="6" fillId="0" fontId="6" numFmtId="0" xfId="0" applyBorder="1" applyFont="1"/>
    <xf borderId="4" fillId="0" fontId="6" numFmtId="164" xfId="0" applyBorder="1" applyFont="1" applyNumberFormat="1"/>
    <xf borderId="5" fillId="16" fontId="6" numFmtId="4" xfId="0" applyBorder="1" applyFill="1" applyFont="1" applyNumberFormat="1"/>
    <xf borderId="5" fillId="0" fontId="6" numFmtId="3" xfId="0" applyBorder="1" applyFont="1" applyNumberFormat="1"/>
    <xf borderId="6" fillId="0" fontId="6" numFmtId="170" xfId="0" applyBorder="1" applyFont="1" applyNumberFormat="1"/>
    <xf borderId="5" fillId="0" fontId="6" numFmtId="164" xfId="0" applyAlignment="1" applyBorder="1" applyFont="1" applyNumberFormat="1">
      <alignment readingOrder="0"/>
    </xf>
    <xf borderId="5" fillId="0" fontId="6" numFmtId="9" xfId="0" applyBorder="1" applyFont="1" applyNumberFormat="1"/>
    <xf borderId="0" fillId="0" fontId="6" numFmtId="171" xfId="0" applyFont="1" applyNumberFormat="1"/>
    <xf borderId="0" fillId="0" fontId="6" numFmtId="171" xfId="0" applyAlignment="1" applyFont="1" applyNumberFormat="1">
      <alignment readingOrder="0"/>
    </xf>
    <xf borderId="10" fillId="0" fontId="6" numFmtId="164" xfId="0" applyAlignment="1" applyBorder="1" applyFont="1" applyNumberFormat="1">
      <alignment readingOrder="0"/>
    </xf>
    <xf borderId="0" fillId="0" fontId="6" numFmtId="169" xfId="0" applyFont="1" applyNumberFormat="1"/>
    <xf borderId="11" fillId="0" fontId="6" numFmtId="0" xfId="0" applyBorder="1" applyFont="1"/>
    <xf borderId="10" fillId="0" fontId="6" numFmtId="164" xfId="0" applyBorder="1" applyFont="1" applyNumberFormat="1"/>
    <xf borderId="0" fillId="16" fontId="6" numFmtId="4" xfId="0" applyAlignment="1" applyFont="1" applyNumberFormat="1">
      <alignment readingOrder="0"/>
    </xf>
    <xf borderId="11" fillId="0" fontId="6" numFmtId="170" xfId="0" applyBorder="1" applyFont="1" applyNumberFormat="1"/>
    <xf borderId="11" fillId="0" fontId="6" numFmtId="0" xfId="0" applyAlignment="1" applyBorder="1" applyFont="1">
      <alignment shrinkToFit="0" wrapText="0"/>
    </xf>
    <xf borderId="11" fillId="0" fontId="6" numFmtId="169" xfId="0" applyBorder="1" applyFont="1" applyNumberFormat="1"/>
    <xf borderId="11" fillId="0" fontId="6" numFmtId="0" xfId="0" applyAlignment="1" applyBorder="1" applyFont="1">
      <alignment shrinkToFit="0" wrapText="0"/>
    </xf>
    <xf borderId="0" fillId="17" fontId="6" numFmtId="169" xfId="0" applyAlignment="1" applyFill="1" applyFont="1" applyNumberFormat="1">
      <alignment readingOrder="0"/>
    </xf>
    <xf borderId="7" fillId="0" fontId="6" numFmtId="164" xfId="0" applyBorder="1" applyFont="1" applyNumberFormat="1"/>
    <xf borderId="8" fillId="0" fontId="2" numFmtId="0" xfId="0" applyBorder="1" applyFont="1"/>
    <xf borderId="8" fillId="0" fontId="6" numFmtId="164" xfId="0" applyBorder="1" applyFont="1" applyNumberFormat="1"/>
    <xf borderId="9" fillId="0" fontId="2" numFmtId="0" xfId="0" applyBorder="1" applyFont="1"/>
    <xf borderId="9" fillId="0" fontId="6" numFmtId="164" xfId="0" applyBorder="1" applyFont="1" applyNumberForma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7" fillId="0" fontId="6" numFmtId="164" xfId="0" applyAlignment="1" applyBorder="1" applyFont="1" applyNumberFormat="1">
      <alignment readingOrder="0"/>
    </xf>
    <xf borderId="8" fillId="16" fontId="6" numFmtId="4" xfId="0" applyAlignment="1" applyBorder="1" applyFont="1" applyNumberFormat="1">
      <alignment readingOrder="0"/>
    </xf>
    <xf borderId="8" fillId="0" fontId="6" numFmtId="4" xfId="0" applyBorder="1" applyFont="1" applyNumberFormat="1"/>
    <xf borderId="8" fillId="0" fontId="6" numFmtId="9" xfId="0" applyAlignment="1" applyBorder="1" applyFont="1" applyNumberFormat="1">
      <alignment readingOrder="0"/>
    </xf>
    <xf borderId="8" fillId="0" fontId="6" numFmtId="3" xfId="0" applyBorder="1" applyFont="1" applyNumberFormat="1"/>
    <xf borderId="8" fillId="0" fontId="6" numFmtId="169" xfId="0" applyAlignment="1" applyBorder="1" applyFont="1" applyNumberFormat="1">
      <alignment readingOrder="0"/>
    </xf>
    <xf borderId="5" fillId="0" fontId="2" numFmtId="0" xfId="0" applyBorder="1" applyFont="1"/>
    <xf borderId="12" fillId="0" fontId="6" numFmtId="164" xfId="0" applyBorder="1" applyFont="1" applyNumberFormat="1"/>
    <xf borderId="12" fillId="0" fontId="6" numFmtId="0" xfId="0" applyBorder="1" applyFont="1"/>
    <xf borderId="12" fillId="0" fontId="6" numFmtId="3" xfId="0" applyBorder="1" applyFont="1" applyNumberFormat="1"/>
    <xf borderId="12" fillId="0" fontId="7" numFmtId="164" xfId="0" applyBorder="1" applyFont="1" applyNumberFormat="1"/>
    <xf borderId="12" fillId="0" fontId="6" numFmtId="0" xfId="0" applyAlignment="1" applyBorder="1" applyFont="1">
      <alignment readingOrder="0"/>
    </xf>
    <xf borderId="12" fillId="0" fontId="7" numFmtId="3" xfId="0" applyBorder="1" applyFont="1" applyNumberFormat="1"/>
    <xf borderId="12" fillId="0" fontId="6" numFmtId="165" xfId="0" applyBorder="1" applyFont="1" applyNumberFormat="1"/>
    <xf borderId="13" fillId="0" fontId="6" numFmtId="0" xfId="0" applyBorder="1" applyFont="1"/>
    <xf borderId="12" fillId="0" fontId="2" numFmtId="0" xfId="0" applyBorder="1" applyFont="1"/>
    <xf borderId="12" fillId="0" fontId="10" numFmtId="0" xfId="0" applyBorder="1" applyFont="1"/>
    <xf borderId="12" fillId="0" fontId="11" numFmtId="0" xfId="0" applyAlignment="1" applyBorder="1" applyFont="1">
      <alignment shrinkToFit="0" wrapText="0"/>
    </xf>
    <xf borderId="12" fillId="0" fontId="12" numFmtId="0" xfId="0" applyAlignment="1" applyBorder="1" applyFont="1">
      <alignment readingOrder="0" shrinkToFit="0" wrapText="0"/>
    </xf>
    <xf borderId="12" fillId="0" fontId="6" numFmtId="9" xfId="0" applyBorder="1" applyFont="1" applyNumberFormat="1"/>
    <xf borderId="12" fillId="16" fontId="6" numFmtId="9" xfId="0" applyBorder="1" applyFont="1" applyNumberFormat="1"/>
    <xf borderId="12" fillId="16" fontId="6" numFmtId="9" xfId="0" applyAlignment="1" applyBorder="1" applyFont="1" applyNumberFormat="1">
      <alignment readingOrder="0"/>
    </xf>
    <xf borderId="12" fillId="16" fontId="6" numFmtId="0" xfId="0" applyBorder="1" applyFont="1"/>
    <xf borderId="12" fillId="16" fontId="6" numFmtId="0" xfId="0" applyAlignment="1" applyBorder="1" applyFont="1">
      <alignment readingOrder="0"/>
    </xf>
    <xf borderId="12" fillId="0" fontId="6" numFmtId="0" xfId="0" applyAlignment="1" applyBorder="1" applyFont="1">
      <alignment readingOrder="0" shrinkToFit="0" wrapText="0"/>
    </xf>
    <xf borderId="0" fillId="0" fontId="6" numFmtId="172" xfId="0" applyFont="1" applyNumberFormat="1"/>
    <xf borderId="0" fillId="0" fontId="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169" xfId="0" applyAlignment="1" applyFont="1" applyNumberFormat="1">
      <alignment horizontal="right" vertical="bottom"/>
    </xf>
    <xf borderId="0" fillId="4" fontId="3" numFmtId="0" xfId="0" applyFont="1"/>
    <xf borderId="0" fillId="4" fontId="1" numFmtId="164" xfId="0" applyAlignment="1" applyFont="1" applyNumberFormat="1">
      <alignment horizontal="center"/>
    </xf>
    <xf borderId="0" fillId="5" fontId="1" numFmtId="164" xfId="0" applyAlignment="1" applyFont="1" applyNumberFormat="1">
      <alignment horizontal="center"/>
    </xf>
    <xf borderId="0" fillId="6" fontId="1" numFmtId="164" xfId="0" applyAlignment="1" applyFont="1" applyNumberFormat="1">
      <alignment horizontal="center"/>
    </xf>
    <xf borderId="0" fillId="7" fontId="1" numFmtId="164" xfId="0" applyAlignment="1" applyFont="1" applyNumberFormat="1">
      <alignment horizontal="center"/>
    </xf>
    <xf borderId="0" fillId="4" fontId="1" numFmtId="0" xfId="0" applyFont="1"/>
    <xf borderId="1" fillId="4" fontId="3" numFmtId="0" xfId="0" applyBorder="1" applyFont="1"/>
    <xf borderId="1" fillId="4" fontId="1" numFmtId="0" xfId="0" applyBorder="1" applyFont="1"/>
    <xf borderId="0" fillId="0" fontId="14" numFmtId="0" xfId="0" applyFont="1"/>
    <xf borderId="0" fillId="0" fontId="14" numFmtId="164" xfId="0" applyFont="1" applyNumberFormat="1"/>
    <xf borderId="1" fillId="4" fontId="15" numFmtId="0" xfId="0" applyBorder="1" applyFont="1"/>
    <xf borderId="1" fillId="4" fontId="14" numFmtId="0" xfId="0" applyBorder="1" applyFont="1"/>
    <xf borderId="0" fillId="0" fontId="1" numFmtId="164" xfId="0" applyAlignment="1" applyFont="1" applyNumberFormat="1">
      <alignment horizontal="right" vertical="bottom"/>
    </xf>
    <xf borderId="0" fillId="0" fontId="2" numFmtId="3" xfId="0" applyFont="1" applyNumberFormat="1"/>
    <xf borderId="0" fillId="0" fontId="2" numFmtId="9" xfId="0" applyFont="1" applyNumberFormat="1"/>
    <xf borderId="0" fillId="17" fontId="2" numFmtId="3" xfId="0" applyFont="1" applyNumberFormat="1"/>
    <xf borderId="0" fillId="0" fontId="2" numFmtId="164" xfId="0" applyFont="1" applyNumberFormat="1"/>
  </cellXfs>
  <cellStyles count="1">
    <cellStyle xfId="0" name="Normal" builtinId="0"/>
  </cellStyles>
  <dxfs count="5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733425</xdr:colOff>
      <xdr:row>154</xdr:row>
      <xdr:rowOff>180975</xdr:rowOff>
    </xdr:from>
    <xdr:ext cx="6591300" cy="4924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186</xdr:row>
      <xdr:rowOff>0</xdr:rowOff>
    </xdr:from>
    <xdr:ext cx="4876800" cy="3219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merywood.com/" TargetMode="External"/><Relationship Id="rId3" Type="http://schemas.openxmlformats.org/officeDocument/2006/relationships/hyperlink" Target="https://millmax.eu/" TargetMode="External"/><Relationship Id="rId4" Type="http://schemas.openxmlformats.org/officeDocument/2006/relationships/hyperlink" Target="https://erascientifico.com/" TargetMode="External"/><Relationship Id="rId5" Type="http://schemas.openxmlformats.org/officeDocument/2006/relationships/hyperlink" Target="https://nutriliq.eu/en/" TargetMode="External"/><Relationship Id="rId6" Type="http://schemas.openxmlformats.org/officeDocument/2006/relationships/drawing" Target="../drawings/drawing5.xml"/><Relationship Id="rId7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11"/>
    <col customWidth="1" min="2" max="2" width="21.22"/>
    <col customWidth="1" min="3" max="26" width="8.33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F2" s="2" t="s">
        <v>4</v>
      </c>
      <c r="G2" s="2" t="s">
        <v>2</v>
      </c>
      <c r="H2" s="2" t="s">
        <v>5</v>
      </c>
    </row>
    <row r="3" ht="15.75" customHeight="1">
      <c r="A3" s="2" t="s">
        <v>6</v>
      </c>
      <c r="B3" s="2" t="s">
        <v>7</v>
      </c>
      <c r="C3" s="2" t="s">
        <v>2</v>
      </c>
      <c r="D3" s="2" t="s">
        <v>8</v>
      </c>
    </row>
    <row r="4" ht="15.75" customHeight="1">
      <c r="A4" s="1" t="s">
        <v>9</v>
      </c>
      <c r="B4" s="1" t="s">
        <v>10</v>
      </c>
      <c r="C4" s="1" t="s">
        <v>2</v>
      </c>
      <c r="D4" s="1" t="s">
        <v>11</v>
      </c>
    </row>
    <row r="5" ht="15.75" customHeight="1">
      <c r="A5" s="2" t="s">
        <v>12</v>
      </c>
      <c r="B5" s="2" t="s">
        <v>13</v>
      </c>
      <c r="C5" s="2" t="s">
        <v>2</v>
      </c>
      <c r="D5" s="2" t="s">
        <v>14</v>
      </c>
    </row>
    <row r="6" ht="15.75" customHeight="1">
      <c r="A6" s="2" t="s">
        <v>15</v>
      </c>
      <c r="B6" s="2" t="s">
        <v>16</v>
      </c>
      <c r="C6" s="2" t="s">
        <v>2</v>
      </c>
      <c r="D6" s="2" t="s">
        <v>17</v>
      </c>
    </row>
    <row r="7" ht="15.75" customHeight="1"/>
    <row r="8" ht="15.75" customHeight="1">
      <c r="A8" s="1" t="s">
        <v>18</v>
      </c>
      <c r="B8" s="1" t="s">
        <v>19</v>
      </c>
      <c r="C8" s="1" t="s">
        <v>2</v>
      </c>
      <c r="D8" s="1" t="s">
        <v>20</v>
      </c>
    </row>
    <row r="9" ht="15.75" customHeight="1">
      <c r="A9" s="2" t="s">
        <v>21</v>
      </c>
      <c r="B9" s="2" t="s">
        <v>22</v>
      </c>
      <c r="C9" s="2" t="s">
        <v>2</v>
      </c>
      <c r="D9" s="2" t="s">
        <v>23</v>
      </c>
    </row>
    <row r="10" ht="15.75" customHeight="1"/>
    <row r="11" ht="15.75" customHeight="1">
      <c r="A11" s="3" t="s">
        <v>24</v>
      </c>
      <c r="B11" s="3" t="s">
        <v>25</v>
      </c>
      <c r="C11" s="3" t="s">
        <v>2</v>
      </c>
      <c r="D11" s="3" t="s">
        <v>26</v>
      </c>
    </row>
    <row r="12" ht="15.75" customHeight="1"/>
    <row r="13" ht="15.75" customHeight="1">
      <c r="A13" s="2" t="s">
        <v>27</v>
      </c>
      <c r="B13" s="2" t="s">
        <v>28</v>
      </c>
    </row>
    <row r="14" ht="15.75" customHeight="1">
      <c r="A14" s="2" t="s">
        <v>29</v>
      </c>
      <c r="B14" s="2" t="s">
        <v>30</v>
      </c>
    </row>
    <row r="15" ht="15.75" customHeight="1"/>
    <row r="16" ht="15.75" customHeight="1">
      <c r="A16" s="2" t="s">
        <v>31</v>
      </c>
      <c r="B16" s="2" t="s">
        <v>32</v>
      </c>
    </row>
    <row r="17" ht="15.75" customHeight="1">
      <c r="A17" s="2" t="s">
        <v>33</v>
      </c>
      <c r="B17" s="2" t="s">
        <v>34</v>
      </c>
    </row>
    <row r="18" ht="15.75" customHeight="1">
      <c r="A18" s="2" t="s">
        <v>35</v>
      </c>
      <c r="B18" s="2" t="s">
        <v>36</v>
      </c>
    </row>
    <row r="19" ht="15.75" customHeight="1">
      <c r="A19" s="2" t="s">
        <v>37</v>
      </c>
      <c r="B19" s="2" t="s">
        <v>38</v>
      </c>
    </row>
    <row r="20" ht="15.75" customHeight="1">
      <c r="A20" s="2" t="s">
        <v>39</v>
      </c>
      <c r="B20" s="2" t="s">
        <v>40</v>
      </c>
    </row>
    <row r="21" ht="15.75" customHeight="1"/>
    <row r="22" ht="15.75" customHeight="1">
      <c r="A22" s="3" t="s">
        <v>41</v>
      </c>
      <c r="B22" s="3" t="s">
        <v>42</v>
      </c>
      <c r="C22" s="3" t="s">
        <v>2</v>
      </c>
      <c r="D22" s="3" t="s">
        <v>43</v>
      </c>
    </row>
    <row r="23" ht="15.75" customHeight="1">
      <c r="A23" s="1" t="s">
        <v>44</v>
      </c>
      <c r="B23" s="1" t="s">
        <v>45</v>
      </c>
      <c r="C23" s="1" t="s">
        <v>2</v>
      </c>
      <c r="D23" s="1" t="s">
        <v>46</v>
      </c>
    </row>
    <row r="24" ht="15.75" customHeight="1"/>
    <row r="25" ht="15.75" customHeight="1">
      <c r="A25" s="3" t="s">
        <v>47</v>
      </c>
      <c r="B25" s="3" t="s">
        <v>48</v>
      </c>
      <c r="C25" s="3" t="s">
        <v>2</v>
      </c>
      <c r="D25" s="3" t="s">
        <v>49</v>
      </c>
    </row>
    <row r="26" ht="15.75" customHeight="1">
      <c r="A26" s="1" t="s">
        <v>50</v>
      </c>
      <c r="B26" s="1"/>
      <c r="C26" s="1" t="s">
        <v>2</v>
      </c>
      <c r="D26" s="1" t="s">
        <v>51</v>
      </c>
    </row>
    <row r="27" ht="15.75" customHeight="1"/>
    <row r="28" ht="15.75" customHeight="1">
      <c r="A28" s="3" t="s">
        <v>52</v>
      </c>
      <c r="B28" s="3" t="s">
        <v>53</v>
      </c>
      <c r="C28" s="3" t="s">
        <v>2</v>
      </c>
      <c r="D28" s="3" t="s">
        <v>54</v>
      </c>
    </row>
    <row r="29" ht="15.75" customHeight="1">
      <c r="A29" s="1" t="s">
        <v>55</v>
      </c>
      <c r="B29" s="1"/>
      <c r="C29" s="1" t="s">
        <v>2</v>
      </c>
      <c r="D29" s="1" t="s">
        <v>56</v>
      </c>
    </row>
    <row r="30" ht="15.75" customHeight="1"/>
    <row r="31" ht="15.75" customHeight="1">
      <c r="A31" s="3" t="s">
        <v>57</v>
      </c>
      <c r="B31" s="3" t="s">
        <v>58</v>
      </c>
      <c r="C31" s="3" t="s">
        <v>2</v>
      </c>
      <c r="D31" s="3" t="s">
        <v>59</v>
      </c>
    </row>
    <row r="32" ht="15.75" customHeight="1">
      <c r="A32" s="1" t="s">
        <v>60</v>
      </c>
      <c r="B32" s="1" t="s">
        <v>61</v>
      </c>
      <c r="C32" s="1" t="s">
        <v>2</v>
      </c>
      <c r="D32" s="1" t="s">
        <v>62</v>
      </c>
    </row>
    <row r="33" ht="15.75" customHeight="1"/>
    <row r="34" ht="15.75" customHeight="1">
      <c r="A34" s="2" t="s">
        <v>63</v>
      </c>
    </row>
    <row r="35" ht="15.75" customHeight="1">
      <c r="A35" s="2" t="s">
        <v>64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8.33"/>
    <col customWidth="1" min="2" max="2" width="25.44"/>
    <col customWidth="1" min="3" max="5" width="8.44"/>
    <col customWidth="1" min="6" max="6" width="10.33"/>
    <col customWidth="1" min="7" max="7" width="13.11"/>
    <col customWidth="1" min="8" max="12" width="9.33"/>
    <col customWidth="1" min="13" max="13" width="10.22"/>
    <col customWidth="1" min="14" max="14" width="14.33"/>
    <col customWidth="1" min="15" max="22" width="8.33"/>
    <col customWidth="1" min="23" max="23" width="9.44"/>
    <col customWidth="1" min="24" max="29" width="8.33"/>
    <col customWidth="1" min="30" max="46" width="9.22"/>
    <col customWidth="1" min="47" max="50" width="9.89"/>
    <col customWidth="1" min="51" max="51" width="8.33"/>
  </cols>
  <sheetData>
    <row r="1" ht="15.75" customHeight="1">
      <c r="B1" s="2" t="s">
        <v>65</v>
      </c>
      <c r="C1" s="4">
        <v>2023.0</v>
      </c>
      <c r="D1" s="4">
        <v>2023.0</v>
      </c>
      <c r="E1" s="4">
        <v>2023.0</v>
      </c>
      <c r="F1" s="4">
        <v>2023.0</v>
      </c>
      <c r="G1" s="4">
        <v>2023.0</v>
      </c>
      <c r="H1" s="4">
        <v>2023.0</v>
      </c>
      <c r="I1" s="4">
        <v>2023.0</v>
      </c>
      <c r="J1" s="4">
        <v>2023.0</v>
      </c>
      <c r="K1" s="4">
        <v>2023.0</v>
      </c>
      <c r="L1" s="4">
        <v>2023.0</v>
      </c>
      <c r="M1" s="4">
        <v>2023.0</v>
      </c>
      <c r="N1" s="4">
        <v>2023.0</v>
      </c>
      <c r="O1" s="5">
        <v>2024.0</v>
      </c>
      <c r="P1" s="5">
        <v>2024.0</v>
      </c>
      <c r="Q1" s="5">
        <v>2024.0</v>
      </c>
      <c r="R1" s="5">
        <v>2024.0</v>
      </c>
      <c r="S1" s="5">
        <v>2024.0</v>
      </c>
      <c r="T1" s="5">
        <v>2024.0</v>
      </c>
      <c r="U1" s="5">
        <v>2024.0</v>
      </c>
      <c r="V1" s="5">
        <v>2024.0</v>
      </c>
      <c r="W1" s="5">
        <v>2024.0</v>
      </c>
      <c r="X1" s="5">
        <v>2024.0</v>
      </c>
      <c r="Y1" s="5">
        <v>2024.0</v>
      </c>
      <c r="Z1" s="5">
        <v>2024.0</v>
      </c>
      <c r="AA1" s="6">
        <v>2025.0</v>
      </c>
      <c r="AB1" s="6">
        <v>2025.0</v>
      </c>
      <c r="AC1" s="6">
        <v>2025.0</v>
      </c>
      <c r="AD1" s="6">
        <v>2025.0</v>
      </c>
      <c r="AE1" s="6">
        <v>2025.0</v>
      </c>
      <c r="AF1" s="6">
        <v>2025.0</v>
      </c>
      <c r="AG1" s="6">
        <v>2025.0</v>
      </c>
      <c r="AH1" s="6">
        <v>2025.0</v>
      </c>
      <c r="AI1" s="6">
        <v>2025.0</v>
      </c>
      <c r="AJ1" s="6">
        <v>2025.0</v>
      </c>
      <c r="AK1" s="6">
        <v>2025.0</v>
      </c>
      <c r="AL1" s="6">
        <v>2025.0</v>
      </c>
      <c r="AM1" s="7">
        <v>2026.0</v>
      </c>
      <c r="AN1" s="7">
        <v>2026.0</v>
      </c>
      <c r="AO1" s="7">
        <v>2026.0</v>
      </c>
      <c r="AP1" s="7">
        <v>2026.0</v>
      </c>
      <c r="AQ1" s="7">
        <v>2026.0</v>
      </c>
      <c r="AR1" s="7">
        <v>2026.0</v>
      </c>
      <c r="AS1" s="7">
        <v>2026.0</v>
      </c>
      <c r="AT1" s="7">
        <v>2026.0</v>
      </c>
      <c r="AU1" s="7">
        <v>2026.0</v>
      </c>
      <c r="AV1" s="7">
        <v>2026.0</v>
      </c>
      <c r="AW1" s="7">
        <v>2026.0</v>
      </c>
      <c r="AX1" s="7">
        <v>2026.0</v>
      </c>
    </row>
    <row r="2" ht="15.75" customHeight="1">
      <c r="B2" s="2" t="s">
        <v>66</v>
      </c>
      <c r="C2" s="8">
        <v>1.0</v>
      </c>
      <c r="D2" s="8">
        <v>2.0</v>
      </c>
      <c r="E2" s="8">
        <v>3.0</v>
      </c>
      <c r="F2" s="8">
        <v>4.0</v>
      </c>
      <c r="G2" s="8">
        <v>5.0</v>
      </c>
      <c r="H2" s="8">
        <v>6.0</v>
      </c>
      <c r="I2" s="8">
        <v>7.0</v>
      </c>
      <c r="J2" s="8">
        <v>8.0</v>
      </c>
      <c r="K2" s="8">
        <v>9.0</v>
      </c>
      <c r="L2" s="8">
        <v>10.0</v>
      </c>
      <c r="M2" s="8">
        <v>11.0</v>
      </c>
      <c r="N2" s="8">
        <v>12.0</v>
      </c>
      <c r="O2" s="8">
        <v>1.0</v>
      </c>
      <c r="P2" s="8">
        <v>2.0</v>
      </c>
      <c r="Q2" s="8">
        <v>3.0</v>
      </c>
      <c r="R2" s="8">
        <v>4.0</v>
      </c>
      <c r="S2" s="8">
        <v>5.0</v>
      </c>
      <c r="T2" s="8">
        <v>6.0</v>
      </c>
      <c r="U2" s="9">
        <v>7.0</v>
      </c>
      <c r="V2" s="8">
        <v>8.0</v>
      </c>
      <c r="W2" s="8">
        <v>9.0</v>
      </c>
      <c r="X2" s="8">
        <v>10.0</v>
      </c>
      <c r="Y2" s="8">
        <v>11.0</v>
      </c>
      <c r="Z2" s="8">
        <v>12.0</v>
      </c>
      <c r="AA2" s="8">
        <v>1.0</v>
      </c>
      <c r="AB2" s="8">
        <v>2.0</v>
      </c>
      <c r="AC2" s="8">
        <v>3.0</v>
      </c>
      <c r="AD2" s="8">
        <v>4.0</v>
      </c>
      <c r="AE2" s="8">
        <v>5.0</v>
      </c>
      <c r="AF2" s="8">
        <v>6.0</v>
      </c>
      <c r="AG2" s="8">
        <v>7.0</v>
      </c>
      <c r="AH2" s="8">
        <v>8.0</v>
      </c>
      <c r="AI2" s="8">
        <v>9.0</v>
      </c>
      <c r="AJ2" s="8">
        <v>10.0</v>
      </c>
      <c r="AK2" s="8">
        <v>11.0</v>
      </c>
      <c r="AL2" s="8">
        <v>12.0</v>
      </c>
      <c r="AM2" s="8">
        <v>1.0</v>
      </c>
      <c r="AN2" s="8">
        <v>2.0</v>
      </c>
      <c r="AO2" s="8">
        <v>3.0</v>
      </c>
      <c r="AP2" s="8">
        <v>4.0</v>
      </c>
      <c r="AQ2" s="8">
        <v>5.0</v>
      </c>
      <c r="AR2" s="8">
        <v>6.0</v>
      </c>
      <c r="AS2" s="10">
        <v>7.0</v>
      </c>
      <c r="AT2" s="8">
        <v>8.0</v>
      </c>
      <c r="AU2" s="8">
        <v>9.0</v>
      </c>
      <c r="AV2" s="8">
        <v>10.0</v>
      </c>
      <c r="AW2" s="8">
        <v>11.0</v>
      </c>
      <c r="AX2" s="8">
        <v>12.0</v>
      </c>
    </row>
    <row r="3" ht="15.75" customHeight="1">
      <c r="C3" s="11" t="s">
        <v>67</v>
      </c>
      <c r="F3" s="11" t="s">
        <v>68</v>
      </c>
      <c r="I3" s="11" t="s">
        <v>69</v>
      </c>
      <c r="L3" s="11" t="s">
        <v>70</v>
      </c>
      <c r="O3" s="11" t="s">
        <v>67</v>
      </c>
      <c r="R3" s="11" t="s">
        <v>68</v>
      </c>
      <c r="U3" s="11" t="s">
        <v>69</v>
      </c>
      <c r="X3" s="11" t="s">
        <v>70</v>
      </c>
      <c r="AA3" s="11" t="s">
        <v>67</v>
      </c>
      <c r="AD3" s="11" t="s">
        <v>68</v>
      </c>
      <c r="AG3" s="11" t="s">
        <v>69</v>
      </c>
      <c r="AJ3" s="11" t="s">
        <v>70</v>
      </c>
      <c r="AM3" s="12" t="s">
        <v>67</v>
      </c>
      <c r="AP3" s="11" t="s">
        <v>68</v>
      </c>
      <c r="AS3" s="11" t="s">
        <v>69</v>
      </c>
      <c r="AV3" s="11" t="s">
        <v>70</v>
      </c>
    </row>
    <row r="4" ht="15.75" customHeight="1">
      <c r="A4" s="2" t="s">
        <v>71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ht="15.75" customHeight="1">
      <c r="B5" s="13" t="s">
        <v>72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>
        <f t="shared" ref="U5:AX5" si="1">U23</f>
        <v>39375</v>
      </c>
      <c r="V5" s="8">
        <f t="shared" si="1"/>
        <v>39375</v>
      </c>
      <c r="W5" s="8">
        <f t="shared" si="1"/>
        <v>39375</v>
      </c>
      <c r="X5" s="8">
        <f t="shared" si="1"/>
        <v>51852.73438</v>
      </c>
      <c r="Y5" s="8">
        <f t="shared" si="1"/>
        <v>58150.29189</v>
      </c>
      <c r="Z5" s="8">
        <f t="shared" si="1"/>
        <v>60233.20904</v>
      </c>
      <c r="AA5" s="8">
        <f t="shared" si="1"/>
        <v>60922.13389</v>
      </c>
      <c r="AB5" s="8">
        <f t="shared" si="1"/>
        <v>84508.32842</v>
      </c>
      <c r="AC5" s="8">
        <f t="shared" si="1"/>
        <v>93609.65123</v>
      </c>
      <c r="AD5" s="8">
        <f t="shared" si="1"/>
        <v>97121.62417</v>
      </c>
      <c r="AE5" s="8">
        <f t="shared" si="1"/>
        <v>119892.1249</v>
      </c>
      <c r="AF5" s="8">
        <f t="shared" si="1"/>
        <v>133699.5872</v>
      </c>
      <c r="AG5" s="8">
        <f t="shared" si="1"/>
        <v>142072.0872</v>
      </c>
      <c r="AH5" s="8">
        <f t="shared" si="1"/>
        <v>154980.6857</v>
      </c>
      <c r="AI5" s="8">
        <f t="shared" si="1"/>
        <v>194275.6406</v>
      </c>
      <c r="AJ5" s="8">
        <f t="shared" si="1"/>
        <v>228067.3372</v>
      </c>
      <c r="AK5" s="8">
        <f t="shared" si="1"/>
        <v>257126.5066</v>
      </c>
      <c r="AL5" s="8">
        <f t="shared" si="1"/>
        <v>282115.9394</v>
      </c>
      <c r="AM5" s="8">
        <f t="shared" si="1"/>
        <v>303605.602</v>
      </c>
      <c r="AN5" s="8">
        <f t="shared" si="1"/>
        <v>312043.8822</v>
      </c>
      <c r="AO5" s="8">
        <f t="shared" si="1"/>
        <v>319021.2851</v>
      </c>
      <c r="AP5" s="8">
        <f t="shared" si="1"/>
        <v>324790.7251</v>
      </c>
      <c r="AQ5" s="8">
        <f t="shared" si="1"/>
        <v>318818.8776</v>
      </c>
      <c r="AR5" s="8">
        <f t="shared" si="1"/>
        <v>314078.425</v>
      </c>
      <c r="AS5" s="8">
        <f t="shared" si="1"/>
        <v>310315.4538</v>
      </c>
      <c r="AT5" s="8">
        <f t="shared" si="1"/>
        <v>247275.6705</v>
      </c>
      <c r="AU5" s="8">
        <f t="shared" si="1"/>
        <v>197651.6987</v>
      </c>
      <c r="AV5" s="8">
        <f t="shared" si="1"/>
        <v>158588.4524</v>
      </c>
      <c r="AW5" s="8">
        <f t="shared" si="1"/>
        <v>126789.3883</v>
      </c>
      <c r="AX5" s="8">
        <f t="shared" si="1"/>
        <v>101967.9928</v>
      </c>
    </row>
    <row r="6" ht="15.75" customHeight="1">
      <c r="B6" s="13" t="s">
        <v>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>
        <f t="shared" ref="U6:AX6" si="2">T6+U5</f>
        <v>39375</v>
      </c>
      <c r="V6" s="8">
        <f t="shared" si="2"/>
        <v>78750</v>
      </c>
      <c r="W6" s="8">
        <f t="shared" si="2"/>
        <v>118125</v>
      </c>
      <c r="X6" s="8">
        <f t="shared" si="2"/>
        <v>169977.7344</v>
      </c>
      <c r="Y6" s="8">
        <f t="shared" si="2"/>
        <v>228128.0263</v>
      </c>
      <c r="Z6" s="8">
        <f t="shared" si="2"/>
        <v>288361.2353</v>
      </c>
      <c r="AA6" s="8">
        <f t="shared" si="2"/>
        <v>349283.3692</v>
      </c>
      <c r="AB6" s="8">
        <f t="shared" si="2"/>
        <v>433791.6976</v>
      </c>
      <c r="AC6" s="8">
        <f t="shared" si="2"/>
        <v>527401.3488</v>
      </c>
      <c r="AD6" s="8">
        <f t="shared" si="2"/>
        <v>624522.973</v>
      </c>
      <c r="AE6" s="8">
        <f t="shared" si="2"/>
        <v>744415.0979</v>
      </c>
      <c r="AF6" s="8">
        <f t="shared" si="2"/>
        <v>878114.6851</v>
      </c>
      <c r="AG6" s="8">
        <f t="shared" si="2"/>
        <v>1020186.772</v>
      </c>
      <c r="AH6" s="8">
        <f t="shared" si="2"/>
        <v>1175167.458</v>
      </c>
      <c r="AI6" s="8">
        <f t="shared" si="2"/>
        <v>1369443.099</v>
      </c>
      <c r="AJ6" s="8">
        <f t="shared" si="2"/>
        <v>1597510.436</v>
      </c>
      <c r="AK6" s="8">
        <f t="shared" si="2"/>
        <v>1854636.942</v>
      </c>
      <c r="AL6" s="8">
        <f t="shared" si="2"/>
        <v>2136752.882</v>
      </c>
      <c r="AM6" s="8">
        <f t="shared" si="2"/>
        <v>2440358.484</v>
      </c>
      <c r="AN6" s="8">
        <f t="shared" si="2"/>
        <v>2752402.366</v>
      </c>
      <c r="AO6" s="8">
        <f t="shared" si="2"/>
        <v>3071423.651</v>
      </c>
      <c r="AP6" s="8">
        <f t="shared" si="2"/>
        <v>3396214.376</v>
      </c>
      <c r="AQ6" s="8">
        <f t="shared" si="2"/>
        <v>3715033.254</v>
      </c>
      <c r="AR6" s="8">
        <f t="shared" si="2"/>
        <v>4029111.679</v>
      </c>
      <c r="AS6" s="8">
        <f t="shared" si="2"/>
        <v>4339427.133</v>
      </c>
      <c r="AT6" s="8">
        <f t="shared" si="2"/>
        <v>4586702.803</v>
      </c>
      <c r="AU6" s="8">
        <f t="shared" si="2"/>
        <v>4784354.502</v>
      </c>
      <c r="AV6" s="8">
        <f t="shared" si="2"/>
        <v>4942942.954</v>
      </c>
      <c r="AW6" s="8">
        <f t="shared" si="2"/>
        <v>5069732.342</v>
      </c>
      <c r="AX6" s="8">
        <f t="shared" si="2"/>
        <v>5171700.335</v>
      </c>
    </row>
    <row r="7" ht="15.75" customHeight="1">
      <c r="B7" s="13" t="s">
        <v>74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</row>
    <row r="8" ht="15.75" customHeight="1">
      <c r="A8" s="15"/>
      <c r="B8" s="16" t="s">
        <v>75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f t="shared" ref="U8:AX8" si="3">U25</f>
        <v>0.01</v>
      </c>
      <c r="V8" s="15">
        <f t="shared" si="3"/>
        <v>0.01</v>
      </c>
      <c r="W8" s="15">
        <f t="shared" si="3"/>
        <v>0.01</v>
      </c>
      <c r="X8" s="15">
        <f t="shared" si="3"/>
        <v>0.012</v>
      </c>
      <c r="Y8" s="15">
        <f t="shared" si="3"/>
        <v>0.012</v>
      </c>
      <c r="Z8" s="15">
        <f t="shared" si="3"/>
        <v>0.012</v>
      </c>
      <c r="AA8" s="15">
        <f t="shared" si="3"/>
        <v>0.014</v>
      </c>
      <c r="AB8" s="15">
        <f t="shared" si="3"/>
        <v>0.014</v>
      </c>
      <c r="AC8" s="15">
        <f t="shared" si="3"/>
        <v>0.014</v>
      </c>
      <c r="AD8" s="15">
        <f t="shared" si="3"/>
        <v>0.022</v>
      </c>
      <c r="AE8" s="15">
        <f t="shared" si="3"/>
        <v>0.022</v>
      </c>
      <c r="AF8" s="15">
        <f t="shared" si="3"/>
        <v>0.022</v>
      </c>
      <c r="AG8" s="15">
        <f t="shared" si="3"/>
        <v>0.024</v>
      </c>
      <c r="AH8" s="15">
        <f t="shared" si="3"/>
        <v>0.024</v>
      </c>
      <c r="AI8" s="15">
        <f t="shared" si="3"/>
        <v>0.024</v>
      </c>
      <c r="AJ8" s="15">
        <f t="shared" si="3"/>
        <v>0.024</v>
      </c>
      <c r="AK8" s="15">
        <f t="shared" si="3"/>
        <v>0.024</v>
      </c>
      <c r="AL8" s="15">
        <f t="shared" si="3"/>
        <v>0.024</v>
      </c>
      <c r="AM8" s="15">
        <f t="shared" si="3"/>
        <v>0.024</v>
      </c>
      <c r="AN8" s="15">
        <f t="shared" si="3"/>
        <v>0.024</v>
      </c>
      <c r="AO8" s="15">
        <f t="shared" si="3"/>
        <v>0.024</v>
      </c>
      <c r="AP8" s="15">
        <f t="shared" si="3"/>
        <v>0.024</v>
      </c>
      <c r="AQ8" s="15">
        <f t="shared" si="3"/>
        <v>0.024</v>
      </c>
      <c r="AR8" s="15">
        <f t="shared" si="3"/>
        <v>0.024</v>
      </c>
      <c r="AS8" s="15">
        <f t="shared" si="3"/>
        <v>0.024</v>
      </c>
      <c r="AT8" s="15">
        <f t="shared" si="3"/>
        <v>0.024</v>
      </c>
      <c r="AU8" s="15">
        <f t="shared" si="3"/>
        <v>0.024</v>
      </c>
      <c r="AV8" s="15">
        <f t="shared" si="3"/>
        <v>0.024</v>
      </c>
      <c r="AW8" s="15">
        <f t="shared" si="3"/>
        <v>0.024</v>
      </c>
      <c r="AX8" s="15">
        <f t="shared" si="3"/>
        <v>0.024</v>
      </c>
      <c r="AY8" s="15"/>
    </row>
    <row r="9" ht="15.75" customHeight="1">
      <c r="B9" s="13" t="s">
        <v>76</v>
      </c>
      <c r="C9" s="8">
        <f t="shared" ref="C9:AX9" si="4">C8*C5</f>
        <v>0</v>
      </c>
      <c r="D9" s="8">
        <f t="shared" si="4"/>
        <v>0</v>
      </c>
      <c r="E9" s="8">
        <f t="shared" si="4"/>
        <v>0</v>
      </c>
      <c r="F9" s="8">
        <f t="shared" si="4"/>
        <v>0</v>
      </c>
      <c r="G9" s="8">
        <f t="shared" si="4"/>
        <v>0</v>
      </c>
      <c r="H9" s="8">
        <f t="shared" si="4"/>
        <v>0</v>
      </c>
      <c r="I9" s="8">
        <f t="shared" si="4"/>
        <v>0</v>
      </c>
      <c r="J9" s="8">
        <f t="shared" si="4"/>
        <v>0</v>
      </c>
      <c r="K9" s="8">
        <f t="shared" si="4"/>
        <v>0</v>
      </c>
      <c r="L9" s="8">
        <f t="shared" si="4"/>
        <v>0</v>
      </c>
      <c r="M9" s="8">
        <f t="shared" si="4"/>
        <v>0</v>
      </c>
      <c r="N9" s="8">
        <f t="shared" si="4"/>
        <v>0</v>
      </c>
      <c r="O9" s="8">
        <f t="shared" si="4"/>
        <v>0</v>
      </c>
      <c r="P9" s="8">
        <f t="shared" si="4"/>
        <v>0</v>
      </c>
      <c r="Q9" s="8">
        <f t="shared" si="4"/>
        <v>0</v>
      </c>
      <c r="R9" s="8">
        <f t="shared" si="4"/>
        <v>0</v>
      </c>
      <c r="S9" s="8">
        <f t="shared" si="4"/>
        <v>0</v>
      </c>
      <c r="T9" s="8">
        <f t="shared" si="4"/>
        <v>0</v>
      </c>
      <c r="U9" s="8">
        <f t="shared" si="4"/>
        <v>393.75</v>
      </c>
      <c r="V9" s="8">
        <f t="shared" si="4"/>
        <v>393.75</v>
      </c>
      <c r="W9" s="8">
        <f t="shared" si="4"/>
        <v>393.75</v>
      </c>
      <c r="X9" s="8">
        <f t="shared" si="4"/>
        <v>622.2328125</v>
      </c>
      <c r="Y9" s="8">
        <f t="shared" si="4"/>
        <v>697.8035027</v>
      </c>
      <c r="Z9" s="8">
        <f t="shared" si="4"/>
        <v>722.7985085</v>
      </c>
      <c r="AA9" s="8">
        <f t="shared" si="4"/>
        <v>852.9098745</v>
      </c>
      <c r="AB9" s="8">
        <f t="shared" si="4"/>
        <v>1183.116598</v>
      </c>
      <c r="AC9" s="8">
        <f t="shared" si="4"/>
        <v>1310.535117</v>
      </c>
      <c r="AD9" s="8">
        <f t="shared" si="4"/>
        <v>2136.675732</v>
      </c>
      <c r="AE9" s="8">
        <f t="shared" si="4"/>
        <v>2637.626747</v>
      </c>
      <c r="AF9" s="8">
        <f t="shared" si="4"/>
        <v>2941.390919</v>
      </c>
      <c r="AG9" s="8">
        <f t="shared" si="4"/>
        <v>3409.730093</v>
      </c>
      <c r="AH9" s="8">
        <f t="shared" si="4"/>
        <v>3719.536456</v>
      </c>
      <c r="AI9" s="8">
        <f t="shared" si="4"/>
        <v>4662.615376</v>
      </c>
      <c r="AJ9" s="8">
        <f t="shared" si="4"/>
        <v>5473.616092</v>
      </c>
      <c r="AK9" s="8">
        <f t="shared" si="4"/>
        <v>6171.036159</v>
      </c>
      <c r="AL9" s="8">
        <f t="shared" si="4"/>
        <v>6770.782545</v>
      </c>
      <c r="AM9" s="8">
        <f t="shared" si="4"/>
        <v>7286.534449</v>
      </c>
      <c r="AN9" s="8">
        <f t="shared" si="4"/>
        <v>7489.053173</v>
      </c>
      <c r="AO9" s="8">
        <f t="shared" si="4"/>
        <v>7656.510842</v>
      </c>
      <c r="AP9" s="8">
        <f t="shared" si="4"/>
        <v>7794.977403</v>
      </c>
      <c r="AQ9" s="8">
        <f t="shared" si="4"/>
        <v>7651.653062</v>
      </c>
      <c r="AR9" s="8">
        <f t="shared" si="4"/>
        <v>7537.882201</v>
      </c>
      <c r="AS9" s="8">
        <f t="shared" si="4"/>
        <v>7447.570891</v>
      </c>
      <c r="AT9" s="8">
        <f t="shared" si="4"/>
        <v>5934.616092</v>
      </c>
      <c r="AU9" s="8">
        <f t="shared" si="4"/>
        <v>4743.640768</v>
      </c>
      <c r="AV9" s="8">
        <f t="shared" si="4"/>
        <v>3806.122858</v>
      </c>
      <c r="AW9" s="8">
        <f t="shared" si="4"/>
        <v>3042.945319</v>
      </c>
      <c r="AX9" s="8">
        <f t="shared" si="4"/>
        <v>2447.231828</v>
      </c>
    </row>
    <row r="10" ht="15.75" customHeight="1">
      <c r="B10" s="13" t="s">
        <v>77</v>
      </c>
      <c r="C10" s="8"/>
      <c r="D10" s="8">
        <f t="shared" ref="D10:AX10" si="5">D9+C10</f>
        <v>0</v>
      </c>
      <c r="E10" s="8">
        <f t="shared" si="5"/>
        <v>0</v>
      </c>
      <c r="F10" s="8">
        <f t="shared" si="5"/>
        <v>0</v>
      </c>
      <c r="G10" s="8">
        <f t="shared" si="5"/>
        <v>0</v>
      </c>
      <c r="H10" s="8">
        <f t="shared" si="5"/>
        <v>0</v>
      </c>
      <c r="I10" s="8">
        <f t="shared" si="5"/>
        <v>0</v>
      </c>
      <c r="J10" s="8">
        <f t="shared" si="5"/>
        <v>0</v>
      </c>
      <c r="K10" s="8">
        <f t="shared" si="5"/>
        <v>0</v>
      </c>
      <c r="L10" s="8">
        <f t="shared" si="5"/>
        <v>0</v>
      </c>
      <c r="M10" s="8">
        <f t="shared" si="5"/>
        <v>0</v>
      </c>
      <c r="N10" s="8">
        <f t="shared" si="5"/>
        <v>0</v>
      </c>
      <c r="O10" s="8">
        <f t="shared" si="5"/>
        <v>0</v>
      </c>
      <c r="P10" s="8">
        <f t="shared" si="5"/>
        <v>0</v>
      </c>
      <c r="Q10" s="8">
        <f t="shared" si="5"/>
        <v>0</v>
      </c>
      <c r="R10" s="8">
        <f t="shared" si="5"/>
        <v>0</v>
      </c>
      <c r="S10" s="8">
        <f t="shared" si="5"/>
        <v>0</v>
      </c>
      <c r="T10" s="8">
        <f t="shared" si="5"/>
        <v>0</v>
      </c>
      <c r="U10" s="8">
        <f t="shared" si="5"/>
        <v>393.75</v>
      </c>
      <c r="V10" s="8">
        <f t="shared" si="5"/>
        <v>787.5</v>
      </c>
      <c r="W10" s="8">
        <f t="shared" si="5"/>
        <v>1181.25</v>
      </c>
      <c r="X10" s="8">
        <f t="shared" si="5"/>
        <v>1803.482813</v>
      </c>
      <c r="Y10" s="8">
        <f t="shared" si="5"/>
        <v>2501.286315</v>
      </c>
      <c r="Z10" s="8">
        <f t="shared" si="5"/>
        <v>3224.084824</v>
      </c>
      <c r="AA10" s="8">
        <f t="shared" si="5"/>
        <v>4076.994698</v>
      </c>
      <c r="AB10" s="8">
        <f t="shared" si="5"/>
        <v>5260.111296</v>
      </c>
      <c r="AC10" s="8">
        <f t="shared" si="5"/>
        <v>6570.646413</v>
      </c>
      <c r="AD10" s="8">
        <f t="shared" si="5"/>
        <v>8707.322145</v>
      </c>
      <c r="AE10" s="8">
        <f t="shared" si="5"/>
        <v>11344.94889</v>
      </c>
      <c r="AF10" s="8">
        <f t="shared" si="5"/>
        <v>14286.33981</v>
      </c>
      <c r="AG10" s="8">
        <f t="shared" si="5"/>
        <v>17696.0699</v>
      </c>
      <c r="AH10" s="8">
        <f t="shared" si="5"/>
        <v>21415.60636</v>
      </c>
      <c r="AI10" s="8">
        <f t="shared" si="5"/>
        <v>26078.22173</v>
      </c>
      <c r="AJ10" s="8">
        <f t="shared" si="5"/>
        <v>31551.83783</v>
      </c>
      <c r="AK10" s="8">
        <f t="shared" si="5"/>
        <v>37722.87399</v>
      </c>
      <c r="AL10" s="8">
        <f t="shared" si="5"/>
        <v>44493.65653</v>
      </c>
      <c r="AM10" s="8">
        <f t="shared" si="5"/>
        <v>51780.19098</v>
      </c>
      <c r="AN10" s="8">
        <f t="shared" si="5"/>
        <v>59269.24415</v>
      </c>
      <c r="AO10" s="8">
        <f t="shared" si="5"/>
        <v>66925.75499</v>
      </c>
      <c r="AP10" s="8">
        <f t="shared" si="5"/>
        <v>74720.7324</v>
      </c>
      <c r="AQ10" s="8">
        <f t="shared" si="5"/>
        <v>82372.38546</v>
      </c>
      <c r="AR10" s="8">
        <f t="shared" si="5"/>
        <v>89910.26766</v>
      </c>
      <c r="AS10" s="8">
        <f t="shared" si="5"/>
        <v>97357.83855</v>
      </c>
      <c r="AT10" s="8">
        <f t="shared" si="5"/>
        <v>103292.4546</v>
      </c>
      <c r="AU10" s="8">
        <f t="shared" si="5"/>
        <v>108036.0954</v>
      </c>
      <c r="AV10" s="8">
        <f t="shared" si="5"/>
        <v>111842.2183</v>
      </c>
      <c r="AW10" s="8">
        <f t="shared" si="5"/>
        <v>114885.1636</v>
      </c>
      <c r="AX10" s="8">
        <f t="shared" si="5"/>
        <v>117332.3954</v>
      </c>
    </row>
    <row r="11" ht="15.75" customHeight="1">
      <c r="B11" s="17" t="s">
        <v>78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ht="15.75" customHeight="1">
      <c r="A12" s="18"/>
      <c r="B12" s="13" t="s">
        <v>79</v>
      </c>
      <c r="C12" s="19" t="s">
        <v>80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>
        <v>5000.0</v>
      </c>
      <c r="V12" s="19">
        <v>5000.0</v>
      </c>
      <c r="W12" s="19">
        <v>5000.0</v>
      </c>
      <c r="X12" s="19">
        <f t="shared" ref="X12:AX12" si="6">W47</f>
        <v>2953.125</v>
      </c>
      <c r="Y12" s="19">
        <f t="shared" si="6"/>
        <v>4666.746094</v>
      </c>
      <c r="Z12" s="19">
        <f t="shared" si="6"/>
        <v>5233.526271</v>
      </c>
      <c r="AA12" s="19">
        <f t="shared" si="6"/>
        <v>5420.988814</v>
      </c>
      <c r="AB12" s="19">
        <f t="shared" si="6"/>
        <v>6396.824059</v>
      </c>
      <c r="AC12" s="19">
        <f t="shared" si="6"/>
        <v>8873.374484</v>
      </c>
      <c r="AD12" s="19">
        <f t="shared" si="6"/>
        <v>9829.013379</v>
      </c>
      <c r="AE12" s="19">
        <f t="shared" si="6"/>
        <v>16025.06799</v>
      </c>
      <c r="AF12" s="19">
        <f t="shared" si="6"/>
        <v>19782.2006</v>
      </c>
      <c r="AG12" s="19">
        <f t="shared" si="6"/>
        <v>22060.43189</v>
      </c>
      <c r="AH12" s="19">
        <f t="shared" si="6"/>
        <v>25572.97569</v>
      </c>
      <c r="AI12" s="19">
        <f t="shared" si="6"/>
        <v>36265.48045</v>
      </c>
      <c r="AJ12" s="19">
        <f t="shared" si="6"/>
        <v>45460.49991</v>
      </c>
      <c r="AK12" s="19">
        <f t="shared" si="6"/>
        <v>53367.7569</v>
      </c>
      <c r="AL12" s="19">
        <f t="shared" si="6"/>
        <v>60167.60255</v>
      </c>
      <c r="AM12" s="19">
        <f t="shared" si="6"/>
        <v>66015.12981</v>
      </c>
      <c r="AN12" s="19">
        <f t="shared" si="6"/>
        <v>68311.26046</v>
      </c>
      <c r="AO12" s="19">
        <f t="shared" si="6"/>
        <v>70209.87349</v>
      </c>
      <c r="AP12" s="19">
        <f t="shared" si="6"/>
        <v>71779.78914</v>
      </c>
      <c r="AQ12" s="19">
        <f t="shared" si="6"/>
        <v>70154.79662</v>
      </c>
      <c r="AR12" s="19">
        <f t="shared" si="6"/>
        <v>68864.87756</v>
      </c>
      <c r="AS12" s="19">
        <f t="shared" si="6"/>
        <v>67840.93981</v>
      </c>
      <c r="AT12" s="19">
        <f t="shared" si="6"/>
        <v>66469.5702</v>
      </c>
      <c r="AU12" s="19">
        <f t="shared" si="6"/>
        <v>52966.44862</v>
      </c>
      <c r="AV12" s="19">
        <f t="shared" si="6"/>
        <v>42336.99386</v>
      </c>
      <c r="AW12" s="19">
        <f t="shared" si="6"/>
        <v>33684.18729</v>
      </c>
      <c r="AX12" s="19">
        <f t="shared" si="6"/>
        <v>26930.06608</v>
      </c>
      <c r="AY12" s="18"/>
    </row>
    <row r="13" ht="15.75" customHeight="1">
      <c r="B13" s="13" t="s">
        <v>81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20">
        <f t="shared" ref="U13:AX13" si="7">U12/U9</f>
        <v>12.6984127</v>
      </c>
      <c r="V13" s="20">
        <f t="shared" si="7"/>
        <v>12.6984127</v>
      </c>
      <c r="W13" s="20">
        <f t="shared" si="7"/>
        <v>12.6984127</v>
      </c>
      <c r="X13" s="21">
        <f t="shared" si="7"/>
        <v>4.746012972</v>
      </c>
      <c r="Y13" s="20">
        <f t="shared" si="7"/>
        <v>6.68776536</v>
      </c>
      <c r="Z13" s="20">
        <f t="shared" si="7"/>
        <v>7.240643428</v>
      </c>
      <c r="AA13" s="21">
        <f t="shared" si="7"/>
        <v>6.355875311</v>
      </c>
      <c r="AB13" s="20">
        <f t="shared" si="7"/>
        <v>5.406757094</v>
      </c>
      <c r="AC13" s="20">
        <f t="shared" si="7"/>
        <v>6.770802527</v>
      </c>
      <c r="AD13" s="21">
        <f t="shared" si="7"/>
        <v>4.600142751</v>
      </c>
      <c r="AE13" s="20">
        <f t="shared" si="7"/>
        <v>6.075563196</v>
      </c>
      <c r="AF13" s="20">
        <f t="shared" si="7"/>
        <v>6.725457836</v>
      </c>
      <c r="AG13" s="20">
        <f t="shared" si="7"/>
        <v>6.469846964</v>
      </c>
      <c r="AH13" s="21">
        <f t="shared" si="7"/>
        <v>6.875312555</v>
      </c>
      <c r="AI13" s="21">
        <f t="shared" si="7"/>
        <v>7.777926663</v>
      </c>
      <c r="AJ13" s="21">
        <f t="shared" si="7"/>
        <v>8.305386996</v>
      </c>
      <c r="AK13" s="21">
        <f t="shared" si="7"/>
        <v>8.648103095</v>
      </c>
      <c r="AL13" s="20">
        <f t="shared" si="7"/>
        <v>8.886358726</v>
      </c>
      <c r="AM13" s="20">
        <f t="shared" si="7"/>
        <v>9.059880286</v>
      </c>
      <c r="AN13" s="20">
        <f t="shared" si="7"/>
        <v>9.121481566</v>
      </c>
      <c r="AO13" s="20">
        <f t="shared" si="7"/>
        <v>9.169956778</v>
      </c>
      <c r="AP13" s="20">
        <f t="shared" si="7"/>
        <v>9.208466611</v>
      </c>
      <c r="AQ13" s="20">
        <f t="shared" si="7"/>
        <v>9.168580443</v>
      </c>
      <c r="AR13" s="20">
        <f t="shared" si="7"/>
        <v>9.135838917</v>
      </c>
      <c r="AS13" s="20">
        <f t="shared" si="7"/>
        <v>9.109136496</v>
      </c>
      <c r="AT13" s="20">
        <f t="shared" si="7"/>
        <v>11.2003151</v>
      </c>
      <c r="AU13" s="20">
        <f t="shared" si="7"/>
        <v>11.16577987</v>
      </c>
      <c r="AV13" s="20">
        <f t="shared" si="7"/>
        <v>11.12339129</v>
      </c>
      <c r="AW13" s="20">
        <f t="shared" si="7"/>
        <v>11.06959993</v>
      </c>
      <c r="AX13" s="20">
        <f t="shared" si="7"/>
        <v>11.00429709</v>
      </c>
    </row>
    <row r="14" ht="15.75" customHeight="1">
      <c r="A14" s="18"/>
      <c r="B14" s="13" t="s">
        <v>82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>
        <f t="shared" ref="U14:AX14" si="8">U12/U15*1000</f>
        <v>6250000</v>
      </c>
      <c r="V14" s="19">
        <f t="shared" si="8"/>
        <v>6250000</v>
      </c>
      <c r="W14" s="19">
        <f t="shared" si="8"/>
        <v>6250000</v>
      </c>
      <c r="X14" s="19">
        <f t="shared" si="8"/>
        <v>3691406.25</v>
      </c>
      <c r="Y14" s="19">
        <f t="shared" si="8"/>
        <v>5833432.617</v>
      </c>
      <c r="Z14" s="19">
        <f t="shared" si="8"/>
        <v>6541907.838</v>
      </c>
      <c r="AA14" s="19">
        <f t="shared" si="8"/>
        <v>6776236.017</v>
      </c>
      <c r="AB14" s="19">
        <f t="shared" si="8"/>
        <v>7996030.073</v>
      </c>
      <c r="AC14" s="19">
        <f t="shared" si="8"/>
        <v>11091718.1</v>
      </c>
      <c r="AD14" s="19">
        <f t="shared" si="8"/>
        <v>12286266.72</v>
      </c>
      <c r="AE14" s="19">
        <f t="shared" si="8"/>
        <v>20031334.98</v>
      </c>
      <c r="AF14" s="19">
        <f t="shared" si="8"/>
        <v>24727750.75</v>
      </c>
      <c r="AG14" s="19">
        <f t="shared" si="8"/>
        <v>27575539.86</v>
      </c>
      <c r="AH14" s="19">
        <f t="shared" si="8"/>
        <v>31966219.62</v>
      </c>
      <c r="AI14" s="19">
        <f t="shared" si="8"/>
        <v>45331850.56</v>
      </c>
      <c r="AJ14" s="19">
        <f t="shared" si="8"/>
        <v>56825624.89</v>
      </c>
      <c r="AK14" s="19">
        <f t="shared" si="8"/>
        <v>66709696.12</v>
      </c>
      <c r="AL14" s="19">
        <f t="shared" si="8"/>
        <v>75209503.18</v>
      </c>
      <c r="AM14" s="19">
        <f t="shared" si="8"/>
        <v>82518912.26</v>
      </c>
      <c r="AN14" s="19">
        <f t="shared" si="8"/>
        <v>85389075.58</v>
      </c>
      <c r="AO14" s="19">
        <f t="shared" si="8"/>
        <v>87762341.87</v>
      </c>
      <c r="AP14" s="19">
        <f t="shared" si="8"/>
        <v>89724736.43</v>
      </c>
      <c r="AQ14" s="19">
        <f t="shared" si="8"/>
        <v>87693495.78</v>
      </c>
      <c r="AR14" s="19">
        <f t="shared" si="8"/>
        <v>86081096.95</v>
      </c>
      <c r="AS14" s="19">
        <f t="shared" si="8"/>
        <v>84801174.76</v>
      </c>
      <c r="AT14" s="19">
        <f t="shared" si="8"/>
        <v>83086962.75</v>
      </c>
      <c r="AU14" s="19">
        <f t="shared" si="8"/>
        <v>66208060.77</v>
      </c>
      <c r="AV14" s="19">
        <f t="shared" si="8"/>
        <v>52921242.32</v>
      </c>
      <c r="AW14" s="19">
        <f t="shared" si="8"/>
        <v>42105234.12</v>
      </c>
      <c r="AX14" s="19">
        <f t="shared" si="8"/>
        <v>33662582.6</v>
      </c>
      <c r="AY14" s="18"/>
    </row>
    <row r="15" ht="15.75" customHeight="1">
      <c r="A15" s="18"/>
      <c r="B15" s="13" t="s">
        <v>83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2">
        <v>0.8</v>
      </c>
      <c r="V15" s="22">
        <v>0.8</v>
      </c>
      <c r="W15" s="22">
        <v>0.8</v>
      </c>
      <c r="X15" s="22">
        <v>0.8</v>
      </c>
      <c r="Y15" s="22">
        <v>0.8</v>
      </c>
      <c r="Z15" s="22">
        <v>0.8</v>
      </c>
      <c r="AA15" s="22">
        <v>0.8</v>
      </c>
      <c r="AB15" s="22">
        <v>0.8</v>
      </c>
      <c r="AC15" s="22">
        <v>0.8</v>
      </c>
      <c r="AD15" s="22">
        <v>0.8</v>
      </c>
      <c r="AE15" s="22">
        <v>0.8</v>
      </c>
      <c r="AF15" s="22">
        <v>0.8</v>
      </c>
      <c r="AG15" s="22">
        <v>0.8</v>
      </c>
      <c r="AH15" s="22">
        <v>0.8</v>
      </c>
      <c r="AI15" s="22">
        <v>0.8</v>
      </c>
      <c r="AJ15" s="22">
        <v>0.8</v>
      </c>
      <c r="AK15" s="22">
        <v>0.8</v>
      </c>
      <c r="AL15" s="22">
        <v>0.8</v>
      </c>
      <c r="AM15" s="22">
        <v>0.8</v>
      </c>
      <c r="AN15" s="22">
        <v>0.8</v>
      </c>
      <c r="AO15" s="22">
        <v>0.8</v>
      </c>
      <c r="AP15" s="22">
        <v>0.8</v>
      </c>
      <c r="AQ15" s="22">
        <v>0.8</v>
      </c>
      <c r="AR15" s="22">
        <v>0.8</v>
      </c>
      <c r="AS15" s="22">
        <v>0.8</v>
      </c>
      <c r="AT15" s="22">
        <v>0.8</v>
      </c>
      <c r="AU15" s="22">
        <v>0.8</v>
      </c>
      <c r="AV15" s="22">
        <v>0.8</v>
      </c>
      <c r="AW15" s="22">
        <v>0.8</v>
      </c>
      <c r="AX15" s="22">
        <v>0.8</v>
      </c>
      <c r="AY15" s="18"/>
    </row>
    <row r="16" ht="15.75" customHeight="1">
      <c r="A16" s="23">
        <v>0.1029</v>
      </c>
      <c r="B16" s="13" t="s">
        <v>84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4">
        <v>0.021</v>
      </c>
      <c r="V16" s="24">
        <v>0.021</v>
      </c>
      <c r="W16" s="24">
        <v>0.021</v>
      </c>
      <c r="X16" s="24">
        <v>0.021</v>
      </c>
      <c r="Y16" s="24">
        <v>0.021</v>
      </c>
      <c r="Z16" s="24">
        <v>0.021</v>
      </c>
      <c r="AA16" s="24">
        <v>0.021</v>
      </c>
      <c r="AB16" s="24">
        <v>0.021</v>
      </c>
      <c r="AC16" s="24">
        <v>0.021</v>
      </c>
      <c r="AD16" s="24">
        <v>0.021</v>
      </c>
      <c r="AE16" s="24">
        <v>0.021</v>
      </c>
      <c r="AF16" s="24">
        <v>0.021</v>
      </c>
      <c r="AG16" s="24">
        <v>0.021</v>
      </c>
      <c r="AH16" s="24">
        <v>0.021</v>
      </c>
      <c r="AI16" s="24">
        <v>0.021</v>
      </c>
      <c r="AJ16" s="24">
        <v>0.021</v>
      </c>
      <c r="AK16" s="24">
        <v>0.021</v>
      </c>
      <c r="AL16" s="24">
        <v>0.021</v>
      </c>
      <c r="AM16" s="24">
        <v>0.021</v>
      </c>
      <c r="AN16" s="24">
        <v>0.021</v>
      </c>
      <c r="AO16" s="24">
        <v>0.021</v>
      </c>
      <c r="AP16" s="24">
        <v>0.021</v>
      </c>
      <c r="AQ16" s="24">
        <v>0.021</v>
      </c>
      <c r="AR16" s="24">
        <v>0.021</v>
      </c>
      <c r="AS16" s="24">
        <v>0.021</v>
      </c>
      <c r="AT16" s="24">
        <v>0.021</v>
      </c>
      <c r="AU16" s="24">
        <v>0.021</v>
      </c>
      <c r="AV16" s="24">
        <v>0.021</v>
      </c>
      <c r="AW16" s="24">
        <v>0.021</v>
      </c>
      <c r="AX16" s="24">
        <v>0.021</v>
      </c>
      <c r="AY16" s="18"/>
    </row>
    <row r="17" ht="15.75" customHeight="1">
      <c r="B17" s="13" t="s">
        <v>85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>
        <f t="shared" ref="U17:AX17" si="9">U14*U16</f>
        <v>131250</v>
      </c>
      <c r="V17" s="8">
        <f t="shared" si="9"/>
        <v>131250</v>
      </c>
      <c r="W17" s="8">
        <f t="shared" si="9"/>
        <v>131250</v>
      </c>
      <c r="X17" s="8">
        <f t="shared" si="9"/>
        <v>77519.53125</v>
      </c>
      <c r="Y17" s="8">
        <f t="shared" si="9"/>
        <v>122502.085</v>
      </c>
      <c r="Z17" s="8">
        <f t="shared" si="9"/>
        <v>137380.0646</v>
      </c>
      <c r="AA17" s="8">
        <f t="shared" si="9"/>
        <v>142300.9564</v>
      </c>
      <c r="AB17" s="8">
        <f t="shared" si="9"/>
        <v>167916.6315</v>
      </c>
      <c r="AC17" s="8">
        <f t="shared" si="9"/>
        <v>232926.0802</v>
      </c>
      <c r="AD17" s="8">
        <f t="shared" si="9"/>
        <v>258011.6012</v>
      </c>
      <c r="AE17" s="8">
        <f t="shared" si="9"/>
        <v>420658.0347</v>
      </c>
      <c r="AF17" s="8">
        <f t="shared" si="9"/>
        <v>519282.7658</v>
      </c>
      <c r="AG17" s="8">
        <f t="shared" si="9"/>
        <v>579086.3371</v>
      </c>
      <c r="AH17" s="8">
        <f t="shared" si="9"/>
        <v>671290.612</v>
      </c>
      <c r="AI17" s="8">
        <f t="shared" si="9"/>
        <v>951968.8618</v>
      </c>
      <c r="AJ17" s="8">
        <f t="shared" si="9"/>
        <v>1193338.123</v>
      </c>
      <c r="AK17" s="8">
        <f t="shared" si="9"/>
        <v>1400903.619</v>
      </c>
      <c r="AL17" s="8">
        <f t="shared" si="9"/>
        <v>1579399.567</v>
      </c>
      <c r="AM17" s="8">
        <f t="shared" si="9"/>
        <v>1732897.157</v>
      </c>
      <c r="AN17" s="8">
        <f t="shared" si="9"/>
        <v>1793170.587</v>
      </c>
      <c r="AO17" s="8">
        <f t="shared" si="9"/>
        <v>1843009.179</v>
      </c>
      <c r="AP17" s="8">
        <f t="shared" si="9"/>
        <v>1884219.465</v>
      </c>
      <c r="AQ17" s="8">
        <f t="shared" si="9"/>
        <v>1841563.411</v>
      </c>
      <c r="AR17" s="8">
        <f t="shared" si="9"/>
        <v>1807703.036</v>
      </c>
      <c r="AS17" s="8">
        <f t="shared" si="9"/>
        <v>1780824.67</v>
      </c>
      <c r="AT17" s="8">
        <f t="shared" si="9"/>
        <v>1744826.218</v>
      </c>
      <c r="AU17" s="8">
        <f t="shared" si="9"/>
        <v>1390369.276</v>
      </c>
      <c r="AV17" s="8">
        <f t="shared" si="9"/>
        <v>1111346.089</v>
      </c>
      <c r="AW17" s="8">
        <f t="shared" si="9"/>
        <v>884209.9165</v>
      </c>
      <c r="AX17" s="8">
        <f t="shared" si="9"/>
        <v>706914.2345</v>
      </c>
    </row>
    <row r="18" ht="15.75" customHeight="1">
      <c r="A18" s="18">
        <v>1.39</v>
      </c>
      <c r="B18" s="13" t="s">
        <v>86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5">
        <f t="shared" ref="U18:AX18" si="10">U12/U17</f>
        <v>0.0380952381</v>
      </c>
      <c r="V18" s="25">
        <f t="shared" si="10"/>
        <v>0.0380952381</v>
      </c>
      <c r="W18" s="25">
        <f t="shared" si="10"/>
        <v>0.0380952381</v>
      </c>
      <c r="X18" s="25">
        <f t="shared" si="10"/>
        <v>0.0380952381</v>
      </c>
      <c r="Y18" s="25">
        <f t="shared" si="10"/>
        <v>0.0380952381</v>
      </c>
      <c r="Z18" s="25">
        <f t="shared" si="10"/>
        <v>0.0380952381</v>
      </c>
      <c r="AA18" s="25">
        <f t="shared" si="10"/>
        <v>0.0380952381</v>
      </c>
      <c r="AB18" s="25">
        <f t="shared" si="10"/>
        <v>0.0380952381</v>
      </c>
      <c r="AC18" s="25">
        <f t="shared" si="10"/>
        <v>0.0380952381</v>
      </c>
      <c r="AD18" s="25">
        <f t="shared" si="10"/>
        <v>0.0380952381</v>
      </c>
      <c r="AE18" s="25">
        <f t="shared" si="10"/>
        <v>0.0380952381</v>
      </c>
      <c r="AF18" s="25">
        <f t="shared" si="10"/>
        <v>0.0380952381</v>
      </c>
      <c r="AG18" s="25">
        <f t="shared" si="10"/>
        <v>0.0380952381</v>
      </c>
      <c r="AH18" s="25">
        <f t="shared" si="10"/>
        <v>0.0380952381</v>
      </c>
      <c r="AI18" s="25">
        <f t="shared" si="10"/>
        <v>0.0380952381</v>
      </c>
      <c r="AJ18" s="25">
        <f t="shared" si="10"/>
        <v>0.0380952381</v>
      </c>
      <c r="AK18" s="25">
        <f t="shared" si="10"/>
        <v>0.0380952381</v>
      </c>
      <c r="AL18" s="25">
        <f t="shared" si="10"/>
        <v>0.0380952381</v>
      </c>
      <c r="AM18" s="25">
        <f t="shared" si="10"/>
        <v>0.0380952381</v>
      </c>
      <c r="AN18" s="25">
        <f t="shared" si="10"/>
        <v>0.0380952381</v>
      </c>
      <c r="AO18" s="25">
        <f t="shared" si="10"/>
        <v>0.0380952381</v>
      </c>
      <c r="AP18" s="25">
        <f t="shared" si="10"/>
        <v>0.0380952381</v>
      </c>
      <c r="AQ18" s="25">
        <f t="shared" si="10"/>
        <v>0.0380952381</v>
      </c>
      <c r="AR18" s="25">
        <f t="shared" si="10"/>
        <v>0.0380952381</v>
      </c>
      <c r="AS18" s="25">
        <f t="shared" si="10"/>
        <v>0.0380952381</v>
      </c>
      <c r="AT18" s="25">
        <f t="shared" si="10"/>
        <v>0.0380952381</v>
      </c>
      <c r="AU18" s="25">
        <f t="shared" si="10"/>
        <v>0.0380952381</v>
      </c>
      <c r="AV18" s="25">
        <f t="shared" si="10"/>
        <v>0.0380952381</v>
      </c>
      <c r="AW18" s="25">
        <f t="shared" si="10"/>
        <v>0.0380952381</v>
      </c>
      <c r="AX18" s="25">
        <f t="shared" si="10"/>
        <v>0.0380952381</v>
      </c>
      <c r="AY18" s="18"/>
    </row>
    <row r="19" ht="15.75" customHeight="1">
      <c r="A19" s="18"/>
      <c r="B19" s="13" t="s">
        <v>87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6">
        <v>0.14</v>
      </c>
      <c r="V19" s="26">
        <v>0.14</v>
      </c>
      <c r="W19" s="26">
        <v>0.14</v>
      </c>
      <c r="X19" s="26">
        <v>0.14</v>
      </c>
      <c r="Y19" s="26">
        <v>0.14</v>
      </c>
      <c r="Z19" s="26">
        <v>0.14</v>
      </c>
      <c r="AA19" s="26">
        <v>0.14</v>
      </c>
      <c r="AB19" s="26">
        <v>0.14</v>
      </c>
      <c r="AC19" s="26">
        <v>0.14</v>
      </c>
      <c r="AD19" s="26">
        <v>0.14</v>
      </c>
      <c r="AE19" s="26">
        <v>0.14</v>
      </c>
      <c r="AF19" s="26">
        <v>0.14</v>
      </c>
      <c r="AG19" s="26">
        <v>0.14</v>
      </c>
      <c r="AH19" s="26">
        <v>0.14</v>
      </c>
      <c r="AI19" s="26">
        <v>0.14</v>
      </c>
      <c r="AJ19" s="26">
        <v>0.14</v>
      </c>
      <c r="AK19" s="26">
        <v>0.14</v>
      </c>
      <c r="AL19" s="26">
        <v>0.14</v>
      </c>
      <c r="AM19" s="26">
        <v>0.14</v>
      </c>
      <c r="AN19" s="26">
        <v>0.14</v>
      </c>
      <c r="AO19" s="26">
        <v>0.14</v>
      </c>
      <c r="AP19" s="26">
        <v>0.14</v>
      </c>
      <c r="AQ19" s="26">
        <v>0.14</v>
      </c>
      <c r="AR19" s="26">
        <v>0.14</v>
      </c>
      <c r="AS19" s="26">
        <v>0.14</v>
      </c>
      <c r="AT19" s="26">
        <v>0.14</v>
      </c>
      <c r="AU19" s="26">
        <v>0.14</v>
      </c>
      <c r="AV19" s="26">
        <v>0.14</v>
      </c>
      <c r="AW19" s="26">
        <v>0.14</v>
      </c>
      <c r="AX19" s="26">
        <v>0.14</v>
      </c>
      <c r="AY19" s="18"/>
    </row>
    <row r="20" ht="15.75" customHeight="1">
      <c r="A20" s="18"/>
      <c r="B20" s="13" t="s">
        <v>88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>
        <f t="shared" ref="U20:AX20" si="11">U19*U17</f>
        <v>18375</v>
      </c>
      <c r="V20" s="19">
        <f t="shared" si="11"/>
        <v>18375</v>
      </c>
      <c r="W20" s="19">
        <f t="shared" si="11"/>
        <v>18375</v>
      </c>
      <c r="X20" s="19">
        <f t="shared" si="11"/>
        <v>10852.73438</v>
      </c>
      <c r="Y20" s="19">
        <f t="shared" si="11"/>
        <v>17150.29189</v>
      </c>
      <c r="Z20" s="19">
        <f t="shared" si="11"/>
        <v>19233.20904</v>
      </c>
      <c r="AA20" s="19">
        <f t="shared" si="11"/>
        <v>19922.13389</v>
      </c>
      <c r="AB20" s="19">
        <f t="shared" si="11"/>
        <v>23508.32842</v>
      </c>
      <c r="AC20" s="19">
        <f t="shared" si="11"/>
        <v>32609.65123</v>
      </c>
      <c r="AD20" s="19">
        <f t="shared" si="11"/>
        <v>36121.62417</v>
      </c>
      <c r="AE20" s="19">
        <f t="shared" si="11"/>
        <v>58892.12485</v>
      </c>
      <c r="AF20" s="19">
        <f t="shared" si="11"/>
        <v>72699.58721</v>
      </c>
      <c r="AG20" s="19">
        <f t="shared" si="11"/>
        <v>81072.08719</v>
      </c>
      <c r="AH20" s="19">
        <f t="shared" si="11"/>
        <v>93980.68568</v>
      </c>
      <c r="AI20" s="19">
        <f t="shared" si="11"/>
        <v>133275.6406</v>
      </c>
      <c r="AJ20" s="19">
        <f t="shared" si="11"/>
        <v>167067.3372</v>
      </c>
      <c r="AK20" s="19">
        <f t="shared" si="11"/>
        <v>196126.5066</v>
      </c>
      <c r="AL20" s="19">
        <f t="shared" si="11"/>
        <v>221115.9394</v>
      </c>
      <c r="AM20" s="19">
        <f t="shared" si="11"/>
        <v>242605.602</v>
      </c>
      <c r="AN20" s="19">
        <f t="shared" si="11"/>
        <v>251043.8822</v>
      </c>
      <c r="AO20" s="19">
        <f t="shared" si="11"/>
        <v>258021.2851</v>
      </c>
      <c r="AP20" s="19">
        <f t="shared" si="11"/>
        <v>263790.7251</v>
      </c>
      <c r="AQ20" s="19">
        <f t="shared" si="11"/>
        <v>257818.8776</v>
      </c>
      <c r="AR20" s="19">
        <f t="shared" si="11"/>
        <v>253078.425</v>
      </c>
      <c r="AS20" s="19">
        <f t="shared" si="11"/>
        <v>249315.4538</v>
      </c>
      <c r="AT20" s="19">
        <f t="shared" si="11"/>
        <v>244275.6705</v>
      </c>
      <c r="AU20" s="19">
        <f t="shared" si="11"/>
        <v>194651.6987</v>
      </c>
      <c r="AV20" s="19">
        <f t="shared" si="11"/>
        <v>155588.4524</v>
      </c>
      <c r="AW20" s="19">
        <f t="shared" si="11"/>
        <v>123789.3883</v>
      </c>
      <c r="AX20" s="19">
        <f t="shared" si="11"/>
        <v>98967.99283</v>
      </c>
      <c r="AY20" s="18"/>
    </row>
    <row r="21" ht="15.75" customHeight="1">
      <c r="B21" s="2" t="s">
        <v>89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>
        <v>20000.0</v>
      </c>
      <c r="V21" s="8">
        <v>20000.0</v>
      </c>
      <c r="W21" s="8">
        <v>20000.0</v>
      </c>
      <c r="X21" s="8">
        <v>40000.0</v>
      </c>
      <c r="Y21" s="8">
        <v>40000.0</v>
      </c>
      <c r="Z21" s="8">
        <v>40000.0</v>
      </c>
      <c r="AA21" s="8">
        <v>40000.0</v>
      </c>
      <c r="AB21" s="8">
        <v>60000.0</v>
      </c>
      <c r="AC21" s="8">
        <v>60000.0</v>
      </c>
      <c r="AD21" s="8">
        <v>60000.0</v>
      </c>
      <c r="AE21" s="8">
        <v>60000.0</v>
      </c>
      <c r="AF21" s="8">
        <v>60000.0</v>
      </c>
      <c r="AG21" s="8">
        <v>60000.0</v>
      </c>
      <c r="AH21" s="8">
        <v>60000.0</v>
      </c>
      <c r="AI21" s="8">
        <v>60000.0</v>
      </c>
      <c r="AJ21" s="8">
        <v>60000.0</v>
      </c>
      <c r="AK21" s="8">
        <v>60000.0</v>
      </c>
      <c r="AL21" s="8">
        <v>60000.0</v>
      </c>
      <c r="AM21" s="8">
        <v>60000.0</v>
      </c>
      <c r="AN21" s="8">
        <v>60000.0</v>
      </c>
      <c r="AO21" s="8">
        <v>60000.0</v>
      </c>
      <c r="AP21" s="8">
        <v>60000.0</v>
      </c>
      <c r="AQ21" s="8">
        <v>60000.0</v>
      </c>
      <c r="AR21" s="8">
        <v>60000.0</v>
      </c>
      <c r="AS21" s="8">
        <v>60000.0</v>
      </c>
      <c r="AT21" s="8">
        <v>2000.0</v>
      </c>
      <c r="AU21" s="8">
        <v>2000.0</v>
      </c>
      <c r="AV21" s="8">
        <v>2000.0</v>
      </c>
      <c r="AW21" s="8">
        <v>2000.0</v>
      </c>
      <c r="AX21" s="8">
        <v>2000.0</v>
      </c>
    </row>
    <row r="22" ht="15.75" customHeight="1">
      <c r="B22" s="2" t="s">
        <v>90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>
        <v>1000.0</v>
      </c>
      <c r="V22" s="8">
        <v>1000.0</v>
      </c>
      <c r="W22" s="8">
        <v>1000.0</v>
      </c>
      <c r="X22" s="8">
        <v>1000.0</v>
      </c>
      <c r="Y22" s="8">
        <v>1000.0</v>
      </c>
      <c r="Z22" s="8">
        <v>1000.0</v>
      </c>
      <c r="AA22" s="8">
        <v>1000.0</v>
      </c>
      <c r="AB22" s="8">
        <v>1000.0</v>
      </c>
      <c r="AC22" s="8">
        <v>1000.0</v>
      </c>
      <c r="AD22" s="8">
        <v>1000.0</v>
      </c>
      <c r="AE22" s="8">
        <v>1000.0</v>
      </c>
      <c r="AF22" s="8">
        <v>1000.0</v>
      </c>
      <c r="AG22" s="8">
        <v>1000.0</v>
      </c>
      <c r="AH22" s="8">
        <v>1000.0</v>
      </c>
      <c r="AI22" s="8">
        <v>1000.0</v>
      </c>
      <c r="AJ22" s="8">
        <v>1000.0</v>
      </c>
      <c r="AK22" s="8">
        <v>1000.0</v>
      </c>
      <c r="AL22" s="8">
        <v>1000.0</v>
      </c>
      <c r="AM22" s="8">
        <v>1000.0</v>
      </c>
      <c r="AN22" s="8">
        <v>1000.0</v>
      </c>
      <c r="AO22" s="8">
        <v>1000.0</v>
      </c>
      <c r="AP22" s="8">
        <v>1000.0</v>
      </c>
      <c r="AQ22" s="8">
        <v>1000.0</v>
      </c>
      <c r="AR22" s="8">
        <v>1000.0</v>
      </c>
      <c r="AS22" s="8">
        <v>1000.0</v>
      </c>
      <c r="AT22" s="8">
        <v>1000.0</v>
      </c>
      <c r="AU22" s="8">
        <v>1000.0</v>
      </c>
      <c r="AV22" s="8">
        <v>1000.0</v>
      </c>
      <c r="AW22" s="8">
        <v>1000.0</v>
      </c>
      <c r="AX22" s="8">
        <v>1000.0</v>
      </c>
    </row>
    <row r="23" ht="15.75" customHeight="1">
      <c r="B23" s="2" t="s">
        <v>91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>
        <f t="shared" ref="U23:AX23" si="12">SUM(U20:U22)</f>
        <v>39375</v>
      </c>
      <c r="V23" s="8">
        <f t="shared" si="12"/>
        <v>39375</v>
      </c>
      <c r="W23" s="8">
        <f t="shared" si="12"/>
        <v>39375</v>
      </c>
      <c r="X23" s="8">
        <f t="shared" si="12"/>
        <v>51852.73438</v>
      </c>
      <c r="Y23" s="8">
        <f t="shared" si="12"/>
        <v>58150.29189</v>
      </c>
      <c r="Z23" s="8">
        <f t="shared" si="12"/>
        <v>60233.20904</v>
      </c>
      <c r="AA23" s="8">
        <f t="shared" si="12"/>
        <v>60922.13389</v>
      </c>
      <c r="AB23" s="8">
        <f t="shared" si="12"/>
        <v>84508.32842</v>
      </c>
      <c r="AC23" s="8">
        <f t="shared" si="12"/>
        <v>93609.65123</v>
      </c>
      <c r="AD23" s="8">
        <f t="shared" si="12"/>
        <v>97121.62417</v>
      </c>
      <c r="AE23" s="8">
        <f t="shared" si="12"/>
        <v>119892.1249</v>
      </c>
      <c r="AF23" s="8">
        <f t="shared" si="12"/>
        <v>133699.5872</v>
      </c>
      <c r="AG23" s="8">
        <f t="shared" si="12"/>
        <v>142072.0872</v>
      </c>
      <c r="AH23" s="8">
        <f t="shared" si="12"/>
        <v>154980.6857</v>
      </c>
      <c r="AI23" s="8">
        <f t="shared" si="12"/>
        <v>194275.6406</v>
      </c>
      <c r="AJ23" s="8">
        <f t="shared" si="12"/>
        <v>228067.3372</v>
      </c>
      <c r="AK23" s="8">
        <f t="shared" si="12"/>
        <v>257126.5066</v>
      </c>
      <c r="AL23" s="8">
        <f t="shared" si="12"/>
        <v>282115.9394</v>
      </c>
      <c r="AM23" s="8">
        <f t="shared" si="12"/>
        <v>303605.602</v>
      </c>
      <c r="AN23" s="8">
        <f t="shared" si="12"/>
        <v>312043.8822</v>
      </c>
      <c r="AO23" s="8">
        <f t="shared" si="12"/>
        <v>319021.2851</v>
      </c>
      <c r="AP23" s="8">
        <f t="shared" si="12"/>
        <v>324790.7251</v>
      </c>
      <c r="AQ23" s="8">
        <f t="shared" si="12"/>
        <v>318818.8776</v>
      </c>
      <c r="AR23" s="8">
        <f t="shared" si="12"/>
        <v>314078.425</v>
      </c>
      <c r="AS23" s="8">
        <f t="shared" si="12"/>
        <v>310315.4538</v>
      </c>
      <c r="AT23" s="8">
        <f t="shared" si="12"/>
        <v>247275.6705</v>
      </c>
      <c r="AU23" s="8">
        <f t="shared" si="12"/>
        <v>197651.6987</v>
      </c>
      <c r="AV23" s="8">
        <f t="shared" si="12"/>
        <v>158588.4524</v>
      </c>
      <c r="AW23" s="8">
        <f t="shared" si="12"/>
        <v>126789.3883</v>
      </c>
      <c r="AX23" s="8">
        <f t="shared" si="12"/>
        <v>101967.9928</v>
      </c>
    </row>
    <row r="24" ht="15.75" customHeight="1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ht="15.75" customHeight="1">
      <c r="A25" s="20">
        <v>4.86</v>
      </c>
      <c r="B25" s="15" t="s">
        <v>92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4">
        <v>0.01</v>
      </c>
      <c r="V25" s="14">
        <v>0.01</v>
      </c>
      <c r="W25" s="14">
        <v>0.01</v>
      </c>
      <c r="X25" s="15">
        <v>0.012</v>
      </c>
      <c r="Y25" s="15">
        <v>0.012</v>
      </c>
      <c r="Z25" s="15">
        <v>0.012</v>
      </c>
      <c r="AA25" s="15">
        <v>0.014</v>
      </c>
      <c r="AB25" s="15">
        <v>0.014</v>
      </c>
      <c r="AC25" s="15">
        <v>0.014</v>
      </c>
      <c r="AD25" s="15">
        <v>0.022</v>
      </c>
      <c r="AE25" s="15">
        <v>0.022</v>
      </c>
      <c r="AF25" s="15">
        <v>0.022</v>
      </c>
      <c r="AG25" s="15">
        <v>0.024</v>
      </c>
      <c r="AH25" s="15">
        <v>0.024</v>
      </c>
      <c r="AI25" s="15">
        <v>0.024</v>
      </c>
      <c r="AJ25" s="15">
        <v>0.024</v>
      </c>
      <c r="AK25" s="15">
        <v>0.024</v>
      </c>
      <c r="AL25" s="15">
        <v>0.024</v>
      </c>
      <c r="AM25" s="15">
        <v>0.024</v>
      </c>
      <c r="AN25" s="15">
        <v>0.024</v>
      </c>
      <c r="AO25" s="15">
        <v>0.024</v>
      </c>
      <c r="AP25" s="15">
        <v>0.024</v>
      </c>
      <c r="AQ25" s="15">
        <v>0.024</v>
      </c>
      <c r="AR25" s="15">
        <v>0.024</v>
      </c>
      <c r="AS25" s="15">
        <v>0.024</v>
      </c>
      <c r="AT25" s="15">
        <v>0.024</v>
      </c>
      <c r="AU25" s="15">
        <v>0.024</v>
      </c>
      <c r="AV25" s="15">
        <v>0.024</v>
      </c>
      <c r="AW25" s="15">
        <v>0.024</v>
      </c>
      <c r="AX25" s="15">
        <v>0.024</v>
      </c>
      <c r="AY25" s="15"/>
    </row>
    <row r="26" ht="15.75" customHeight="1">
      <c r="B26" s="2" t="s">
        <v>93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>
        <f t="shared" ref="U26:AX26" si="13">U23*U25</f>
        <v>393.75</v>
      </c>
      <c r="V26" s="8">
        <f t="shared" si="13"/>
        <v>393.75</v>
      </c>
      <c r="W26" s="8">
        <f t="shared" si="13"/>
        <v>393.75</v>
      </c>
      <c r="X26" s="8">
        <f t="shared" si="13"/>
        <v>622.2328125</v>
      </c>
      <c r="Y26" s="8">
        <f t="shared" si="13"/>
        <v>697.8035027</v>
      </c>
      <c r="Z26" s="8">
        <f t="shared" si="13"/>
        <v>722.7985085</v>
      </c>
      <c r="AA26" s="8">
        <f t="shared" si="13"/>
        <v>852.9098745</v>
      </c>
      <c r="AB26" s="8">
        <f t="shared" si="13"/>
        <v>1183.116598</v>
      </c>
      <c r="AC26" s="8">
        <f t="shared" si="13"/>
        <v>1310.535117</v>
      </c>
      <c r="AD26" s="8">
        <f t="shared" si="13"/>
        <v>2136.675732</v>
      </c>
      <c r="AE26" s="8">
        <f t="shared" si="13"/>
        <v>2637.626747</v>
      </c>
      <c r="AF26" s="8">
        <f t="shared" si="13"/>
        <v>2941.390919</v>
      </c>
      <c r="AG26" s="8">
        <f t="shared" si="13"/>
        <v>3409.730093</v>
      </c>
      <c r="AH26" s="8">
        <f t="shared" si="13"/>
        <v>3719.536456</v>
      </c>
      <c r="AI26" s="8">
        <f t="shared" si="13"/>
        <v>4662.615376</v>
      </c>
      <c r="AJ26" s="8">
        <f t="shared" si="13"/>
        <v>5473.616092</v>
      </c>
      <c r="AK26" s="8">
        <f t="shared" si="13"/>
        <v>6171.036159</v>
      </c>
      <c r="AL26" s="8">
        <f t="shared" si="13"/>
        <v>6770.782545</v>
      </c>
      <c r="AM26" s="8">
        <f t="shared" si="13"/>
        <v>7286.534449</v>
      </c>
      <c r="AN26" s="8">
        <f t="shared" si="13"/>
        <v>7489.053173</v>
      </c>
      <c r="AO26" s="8">
        <f t="shared" si="13"/>
        <v>7656.510842</v>
      </c>
      <c r="AP26" s="8">
        <f t="shared" si="13"/>
        <v>7794.977403</v>
      </c>
      <c r="AQ26" s="8">
        <f t="shared" si="13"/>
        <v>7651.653062</v>
      </c>
      <c r="AR26" s="8">
        <f t="shared" si="13"/>
        <v>7537.882201</v>
      </c>
      <c r="AS26" s="8">
        <f t="shared" si="13"/>
        <v>7447.570891</v>
      </c>
      <c r="AT26" s="8">
        <f t="shared" si="13"/>
        <v>5934.616092</v>
      </c>
      <c r="AU26" s="8">
        <f t="shared" si="13"/>
        <v>4743.640768</v>
      </c>
      <c r="AV26" s="8">
        <f t="shared" si="13"/>
        <v>3806.122858</v>
      </c>
      <c r="AW26" s="8">
        <f t="shared" si="13"/>
        <v>3042.945319</v>
      </c>
      <c r="AX26" s="8">
        <f t="shared" si="13"/>
        <v>2447.231828</v>
      </c>
    </row>
    <row r="27" ht="15.75" customHeight="1">
      <c r="B27" s="2" t="s">
        <v>94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>
        <f t="shared" ref="U27:AX27" si="14">U20*U25</f>
        <v>183.75</v>
      </c>
      <c r="V27" s="8">
        <f t="shared" si="14"/>
        <v>183.75</v>
      </c>
      <c r="W27" s="8">
        <f t="shared" si="14"/>
        <v>183.75</v>
      </c>
      <c r="X27" s="8">
        <f t="shared" si="14"/>
        <v>130.2328125</v>
      </c>
      <c r="Y27" s="8">
        <f t="shared" si="14"/>
        <v>205.8035027</v>
      </c>
      <c r="Z27" s="8">
        <f t="shared" si="14"/>
        <v>230.7985085</v>
      </c>
      <c r="AA27" s="8">
        <f t="shared" si="14"/>
        <v>278.9098745</v>
      </c>
      <c r="AB27" s="8">
        <f t="shared" si="14"/>
        <v>329.1165978</v>
      </c>
      <c r="AC27" s="8">
        <f t="shared" si="14"/>
        <v>456.5351172</v>
      </c>
      <c r="AD27" s="8">
        <f t="shared" si="14"/>
        <v>794.6757317</v>
      </c>
      <c r="AE27" s="8">
        <f t="shared" si="14"/>
        <v>1295.626747</v>
      </c>
      <c r="AF27" s="8">
        <f t="shared" si="14"/>
        <v>1599.390919</v>
      </c>
      <c r="AG27" s="8">
        <f t="shared" si="14"/>
        <v>1945.730093</v>
      </c>
      <c r="AH27" s="8">
        <f t="shared" si="14"/>
        <v>2255.536456</v>
      </c>
      <c r="AI27" s="8">
        <f t="shared" si="14"/>
        <v>3198.615376</v>
      </c>
      <c r="AJ27" s="8">
        <f t="shared" si="14"/>
        <v>4009.616092</v>
      </c>
      <c r="AK27" s="8">
        <f t="shared" si="14"/>
        <v>4707.036159</v>
      </c>
      <c r="AL27" s="8">
        <f t="shared" si="14"/>
        <v>5306.782545</v>
      </c>
      <c r="AM27" s="8">
        <f t="shared" si="14"/>
        <v>5822.534449</v>
      </c>
      <c r="AN27" s="8">
        <f t="shared" si="14"/>
        <v>6025.053173</v>
      </c>
      <c r="AO27" s="8">
        <f t="shared" si="14"/>
        <v>6192.510842</v>
      </c>
      <c r="AP27" s="8">
        <f t="shared" si="14"/>
        <v>6330.977403</v>
      </c>
      <c r="AQ27" s="8">
        <f t="shared" si="14"/>
        <v>6187.653062</v>
      </c>
      <c r="AR27" s="8">
        <f t="shared" si="14"/>
        <v>6073.882201</v>
      </c>
      <c r="AS27" s="8">
        <f t="shared" si="14"/>
        <v>5983.570891</v>
      </c>
      <c r="AT27" s="8">
        <f t="shared" si="14"/>
        <v>5862.616092</v>
      </c>
      <c r="AU27" s="8">
        <f t="shared" si="14"/>
        <v>4671.640768</v>
      </c>
      <c r="AV27" s="8">
        <f t="shared" si="14"/>
        <v>3734.122858</v>
      </c>
      <c r="AW27" s="8">
        <f t="shared" si="14"/>
        <v>2970.945319</v>
      </c>
      <c r="AX27" s="8">
        <f t="shared" si="14"/>
        <v>2375.231828</v>
      </c>
    </row>
    <row r="28" ht="15.75" customHeight="1">
      <c r="B28" s="2" t="s">
        <v>95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>
        <f>U26</f>
        <v>393.75</v>
      </c>
      <c r="V28" s="8">
        <f t="shared" ref="V28:AX28" si="15">U28+V26</f>
        <v>787.5</v>
      </c>
      <c r="W28" s="8">
        <f t="shared" si="15"/>
        <v>1181.25</v>
      </c>
      <c r="X28" s="8">
        <f t="shared" si="15"/>
        <v>1803.482813</v>
      </c>
      <c r="Y28" s="8">
        <f t="shared" si="15"/>
        <v>2501.286315</v>
      </c>
      <c r="Z28" s="8">
        <f t="shared" si="15"/>
        <v>3224.084824</v>
      </c>
      <c r="AA28" s="8">
        <f t="shared" si="15"/>
        <v>4076.994698</v>
      </c>
      <c r="AB28" s="8">
        <f t="shared" si="15"/>
        <v>5260.111296</v>
      </c>
      <c r="AC28" s="8">
        <f t="shared" si="15"/>
        <v>6570.646413</v>
      </c>
      <c r="AD28" s="8">
        <f t="shared" si="15"/>
        <v>8707.322145</v>
      </c>
      <c r="AE28" s="8">
        <f t="shared" si="15"/>
        <v>11344.94889</v>
      </c>
      <c r="AF28" s="8">
        <f t="shared" si="15"/>
        <v>14286.33981</v>
      </c>
      <c r="AG28" s="8">
        <f t="shared" si="15"/>
        <v>17696.0699</v>
      </c>
      <c r="AH28" s="8">
        <f t="shared" si="15"/>
        <v>21415.60636</v>
      </c>
      <c r="AI28" s="8">
        <f t="shared" si="15"/>
        <v>26078.22173</v>
      </c>
      <c r="AJ28" s="8">
        <f t="shared" si="15"/>
        <v>31551.83783</v>
      </c>
      <c r="AK28" s="8">
        <f t="shared" si="15"/>
        <v>37722.87399</v>
      </c>
      <c r="AL28" s="8">
        <f t="shared" si="15"/>
        <v>44493.65653</v>
      </c>
      <c r="AM28" s="8">
        <f t="shared" si="15"/>
        <v>51780.19098</v>
      </c>
      <c r="AN28" s="8">
        <f t="shared" si="15"/>
        <v>59269.24415</v>
      </c>
      <c r="AO28" s="8">
        <f t="shared" si="15"/>
        <v>66925.75499</v>
      </c>
      <c r="AP28" s="8">
        <f t="shared" si="15"/>
        <v>74720.7324</v>
      </c>
      <c r="AQ28" s="8">
        <f t="shared" si="15"/>
        <v>82372.38546</v>
      </c>
      <c r="AR28" s="8">
        <f t="shared" si="15"/>
        <v>89910.26766</v>
      </c>
      <c r="AS28" s="8">
        <f t="shared" si="15"/>
        <v>97357.83855</v>
      </c>
      <c r="AT28" s="8">
        <f t="shared" si="15"/>
        <v>103292.4546</v>
      </c>
      <c r="AU28" s="8">
        <f t="shared" si="15"/>
        <v>108036.0954</v>
      </c>
      <c r="AV28" s="8">
        <f t="shared" si="15"/>
        <v>111842.2183</v>
      </c>
      <c r="AW28" s="8">
        <f t="shared" si="15"/>
        <v>114885.1636</v>
      </c>
      <c r="AX28" s="8">
        <f t="shared" si="15"/>
        <v>117332.3954</v>
      </c>
    </row>
    <row r="29" ht="15.75" customHeight="1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ht="15.75" customHeight="1">
      <c r="B30" s="2" t="s">
        <v>96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>
        <f t="shared" ref="U30:AX30" si="16">(U31/12)*U28</f>
        <v>820.3125</v>
      </c>
      <c r="V30" s="8">
        <f t="shared" si="16"/>
        <v>1640.625</v>
      </c>
      <c r="W30" s="8">
        <f t="shared" si="16"/>
        <v>2460.9375</v>
      </c>
      <c r="X30" s="8">
        <f t="shared" si="16"/>
        <v>3757.255859</v>
      </c>
      <c r="Y30" s="8">
        <f t="shared" si="16"/>
        <v>5211.013157</v>
      </c>
      <c r="Z30" s="8">
        <f t="shared" si="16"/>
        <v>6716.843383</v>
      </c>
      <c r="AA30" s="8">
        <f t="shared" si="16"/>
        <v>8493.738955</v>
      </c>
      <c r="AB30" s="8">
        <f t="shared" si="16"/>
        <v>10958.5652</v>
      </c>
      <c r="AC30" s="8">
        <f t="shared" si="16"/>
        <v>13688.84669</v>
      </c>
      <c r="AD30" s="8">
        <f t="shared" si="16"/>
        <v>18140.25447</v>
      </c>
      <c r="AE30" s="8">
        <f t="shared" si="16"/>
        <v>23635.31019</v>
      </c>
      <c r="AF30" s="8">
        <f t="shared" si="16"/>
        <v>29763.20794</v>
      </c>
      <c r="AG30" s="8">
        <f t="shared" si="16"/>
        <v>36866.8123</v>
      </c>
      <c r="AH30" s="8">
        <f t="shared" si="16"/>
        <v>44615.84658</v>
      </c>
      <c r="AI30" s="8">
        <f t="shared" si="16"/>
        <v>54329.62861</v>
      </c>
      <c r="AJ30" s="8">
        <f t="shared" si="16"/>
        <v>65732.99547</v>
      </c>
      <c r="AK30" s="8">
        <f t="shared" si="16"/>
        <v>78589.3208</v>
      </c>
      <c r="AL30" s="8">
        <f t="shared" si="16"/>
        <v>92695.11777</v>
      </c>
      <c r="AM30" s="8">
        <f t="shared" si="16"/>
        <v>107875.3979</v>
      </c>
      <c r="AN30" s="8">
        <f t="shared" si="16"/>
        <v>123477.592</v>
      </c>
      <c r="AO30" s="8">
        <f t="shared" si="16"/>
        <v>139428.6562</v>
      </c>
      <c r="AP30" s="8">
        <f t="shared" si="16"/>
        <v>155668.1925</v>
      </c>
      <c r="AQ30" s="8">
        <f t="shared" si="16"/>
        <v>171609.1364</v>
      </c>
      <c r="AR30" s="8">
        <f t="shared" si="16"/>
        <v>187313.0576</v>
      </c>
      <c r="AS30" s="8">
        <f t="shared" si="16"/>
        <v>202828.8303</v>
      </c>
      <c r="AT30" s="8">
        <f t="shared" si="16"/>
        <v>215192.6138</v>
      </c>
      <c r="AU30" s="8">
        <f t="shared" si="16"/>
        <v>225075.1988</v>
      </c>
      <c r="AV30" s="8">
        <f t="shared" si="16"/>
        <v>233004.6214</v>
      </c>
      <c r="AW30" s="8">
        <f t="shared" si="16"/>
        <v>239344.0908</v>
      </c>
      <c r="AX30" s="8">
        <f t="shared" si="16"/>
        <v>244442.4904</v>
      </c>
    </row>
    <row r="31" ht="15.75" customHeight="1">
      <c r="B31" s="2" t="s">
        <v>97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>
        <v>25.0</v>
      </c>
      <c r="V31" s="8">
        <v>25.0</v>
      </c>
      <c r="W31" s="8">
        <v>25.0</v>
      </c>
      <c r="X31" s="8">
        <v>25.0</v>
      </c>
      <c r="Y31" s="8">
        <v>25.0</v>
      </c>
      <c r="Z31" s="8">
        <v>25.0</v>
      </c>
      <c r="AA31" s="8">
        <v>25.0</v>
      </c>
      <c r="AB31" s="8">
        <v>25.0</v>
      </c>
      <c r="AC31" s="8">
        <v>25.0</v>
      </c>
      <c r="AD31" s="8">
        <v>25.0</v>
      </c>
      <c r="AE31" s="8">
        <v>25.0</v>
      </c>
      <c r="AF31" s="8">
        <v>25.0</v>
      </c>
      <c r="AG31" s="8">
        <v>25.0</v>
      </c>
      <c r="AH31" s="8">
        <v>25.0</v>
      </c>
      <c r="AI31" s="8">
        <v>25.0</v>
      </c>
      <c r="AJ31" s="8">
        <v>25.0</v>
      </c>
      <c r="AK31" s="8">
        <v>25.0</v>
      </c>
      <c r="AL31" s="8">
        <v>25.0</v>
      </c>
      <c r="AM31" s="8">
        <v>25.0</v>
      </c>
      <c r="AN31" s="8">
        <v>25.0</v>
      </c>
      <c r="AO31" s="8">
        <v>25.0</v>
      </c>
      <c r="AP31" s="8">
        <v>25.0</v>
      </c>
      <c r="AQ31" s="8">
        <v>25.0</v>
      </c>
      <c r="AR31" s="8">
        <v>25.0</v>
      </c>
      <c r="AS31" s="8">
        <v>25.0</v>
      </c>
      <c r="AT31" s="8">
        <v>25.0</v>
      </c>
      <c r="AU31" s="8">
        <v>25.0</v>
      </c>
      <c r="AV31" s="8">
        <v>25.0</v>
      </c>
      <c r="AW31" s="8">
        <v>25.0</v>
      </c>
      <c r="AX31" s="8">
        <v>25.0</v>
      </c>
    </row>
    <row r="32" ht="15.75" customHeight="1">
      <c r="B32" s="2" t="s">
        <v>98</v>
      </c>
      <c r="C32" s="8"/>
      <c r="D32" s="2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14">
        <v>0.3</v>
      </c>
      <c r="AH32" s="14">
        <v>0.3</v>
      </c>
      <c r="AI32" s="14">
        <v>0.3</v>
      </c>
      <c r="AJ32" s="14">
        <v>0.3</v>
      </c>
      <c r="AK32" s="14">
        <v>0.3</v>
      </c>
      <c r="AL32" s="14">
        <v>0.3</v>
      </c>
      <c r="AM32" s="14">
        <v>0.25</v>
      </c>
      <c r="AN32" s="14">
        <v>0.25</v>
      </c>
      <c r="AO32" s="14">
        <v>0.25</v>
      </c>
      <c r="AP32" s="14">
        <v>0.2</v>
      </c>
      <c r="AQ32" s="14">
        <v>0.2</v>
      </c>
      <c r="AR32" s="14">
        <v>0.2</v>
      </c>
      <c r="AS32" s="14">
        <v>0.19</v>
      </c>
      <c r="AT32" s="14">
        <v>0.19</v>
      </c>
      <c r="AU32" s="14">
        <v>0.19</v>
      </c>
      <c r="AV32" s="14">
        <v>0.18</v>
      </c>
      <c r="AW32" s="14">
        <v>0.18</v>
      </c>
      <c r="AX32" s="14">
        <v>0.18</v>
      </c>
    </row>
    <row r="33" ht="15.75" customHeight="1">
      <c r="B33" s="2" t="s">
        <v>99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8">
        <f t="shared" ref="AG33:AX33" si="17">(AG32*AG9)</f>
        <v>1022.919028</v>
      </c>
      <c r="AH33" s="8">
        <f t="shared" si="17"/>
        <v>1115.860937</v>
      </c>
      <c r="AI33" s="8">
        <f t="shared" si="17"/>
        <v>1398.784613</v>
      </c>
      <c r="AJ33" s="8">
        <f t="shared" si="17"/>
        <v>1642.084828</v>
      </c>
      <c r="AK33" s="8">
        <f t="shared" si="17"/>
        <v>1851.310848</v>
      </c>
      <c r="AL33" s="8">
        <f t="shared" si="17"/>
        <v>2031.234763</v>
      </c>
      <c r="AM33" s="8">
        <f t="shared" si="17"/>
        <v>1821.633612</v>
      </c>
      <c r="AN33" s="8">
        <f t="shared" si="17"/>
        <v>1872.263293</v>
      </c>
      <c r="AO33" s="8">
        <f t="shared" si="17"/>
        <v>1914.127711</v>
      </c>
      <c r="AP33" s="8">
        <f t="shared" si="17"/>
        <v>1558.995481</v>
      </c>
      <c r="AQ33" s="8">
        <f t="shared" si="17"/>
        <v>1530.330612</v>
      </c>
      <c r="AR33" s="8">
        <f t="shared" si="17"/>
        <v>1507.57644</v>
      </c>
      <c r="AS33" s="8">
        <f t="shared" si="17"/>
        <v>1415.038469</v>
      </c>
      <c r="AT33" s="8">
        <f t="shared" si="17"/>
        <v>1127.577057</v>
      </c>
      <c r="AU33" s="8">
        <f t="shared" si="17"/>
        <v>901.291746</v>
      </c>
      <c r="AV33" s="8">
        <f t="shared" si="17"/>
        <v>685.1021145</v>
      </c>
      <c r="AW33" s="8">
        <f t="shared" si="17"/>
        <v>547.7301575</v>
      </c>
      <c r="AX33" s="8">
        <f t="shared" si="17"/>
        <v>440.501729</v>
      </c>
    </row>
    <row r="34" ht="15.75" customHeight="1">
      <c r="B34" s="2" t="s">
        <v>100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>
        <f t="shared" ref="U34:AX34" si="18">U9*U31</f>
        <v>9843.75</v>
      </c>
      <c r="V34" s="8">
        <f t="shared" si="18"/>
        <v>9843.75</v>
      </c>
      <c r="W34" s="8">
        <f t="shared" si="18"/>
        <v>9843.75</v>
      </c>
      <c r="X34" s="8">
        <f t="shared" si="18"/>
        <v>15555.82031</v>
      </c>
      <c r="Y34" s="8">
        <f t="shared" si="18"/>
        <v>17445.08757</v>
      </c>
      <c r="Z34" s="8">
        <f t="shared" si="18"/>
        <v>18069.96271</v>
      </c>
      <c r="AA34" s="8">
        <f t="shared" si="18"/>
        <v>21322.74686</v>
      </c>
      <c r="AB34" s="8">
        <f t="shared" si="18"/>
        <v>29577.91495</v>
      </c>
      <c r="AC34" s="8">
        <f t="shared" si="18"/>
        <v>32763.37793</v>
      </c>
      <c r="AD34" s="8">
        <f t="shared" si="18"/>
        <v>53416.89329</v>
      </c>
      <c r="AE34" s="8">
        <f t="shared" si="18"/>
        <v>65940.66867</v>
      </c>
      <c r="AF34" s="8">
        <f t="shared" si="18"/>
        <v>73534.77296</v>
      </c>
      <c r="AG34" s="8">
        <f t="shared" si="18"/>
        <v>85243.25232</v>
      </c>
      <c r="AH34" s="8">
        <f t="shared" si="18"/>
        <v>92988.41141</v>
      </c>
      <c r="AI34" s="8">
        <f t="shared" si="18"/>
        <v>116565.3844</v>
      </c>
      <c r="AJ34" s="8">
        <f t="shared" si="18"/>
        <v>136840.4023</v>
      </c>
      <c r="AK34" s="8">
        <f t="shared" si="18"/>
        <v>154275.904</v>
      </c>
      <c r="AL34" s="8">
        <f t="shared" si="18"/>
        <v>169269.5636</v>
      </c>
      <c r="AM34" s="8">
        <f t="shared" si="18"/>
        <v>182163.3612</v>
      </c>
      <c r="AN34" s="8">
        <f t="shared" si="18"/>
        <v>187226.3293</v>
      </c>
      <c r="AO34" s="8">
        <f t="shared" si="18"/>
        <v>191412.7711</v>
      </c>
      <c r="AP34" s="8">
        <f t="shared" si="18"/>
        <v>194874.4351</v>
      </c>
      <c r="AQ34" s="8">
        <f t="shared" si="18"/>
        <v>191291.3266</v>
      </c>
      <c r="AR34" s="8">
        <f t="shared" si="18"/>
        <v>188447.055</v>
      </c>
      <c r="AS34" s="8">
        <f t="shared" si="18"/>
        <v>186189.2723</v>
      </c>
      <c r="AT34" s="8">
        <f t="shared" si="18"/>
        <v>148365.4023</v>
      </c>
      <c r="AU34" s="8">
        <f t="shared" si="18"/>
        <v>118591.0192</v>
      </c>
      <c r="AV34" s="8">
        <f t="shared" si="18"/>
        <v>95153.07145</v>
      </c>
      <c r="AW34" s="8">
        <f t="shared" si="18"/>
        <v>76073.63298</v>
      </c>
      <c r="AX34" s="8">
        <f t="shared" si="18"/>
        <v>61180.7957</v>
      </c>
    </row>
    <row r="35" ht="15.75" customHeight="1">
      <c r="B35" s="2" t="s">
        <v>101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>
        <f t="shared" ref="AH35:AX35" si="19">AH33*AH31</f>
        <v>27896.52342</v>
      </c>
      <c r="AI35" s="8">
        <f t="shared" si="19"/>
        <v>34969.61532</v>
      </c>
      <c r="AJ35" s="8">
        <f t="shared" si="19"/>
        <v>41052.12069</v>
      </c>
      <c r="AK35" s="8">
        <f t="shared" si="19"/>
        <v>46282.77119</v>
      </c>
      <c r="AL35" s="8">
        <f t="shared" si="19"/>
        <v>50780.86908</v>
      </c>
      <c r="AM35" s="8">
        <f t="shared" si="19"/>
        <v>45540.84031</v>
      </c>
      <c r="AN35" s="8">
        <f t="shared" si="19"/>
        <v>46806.58233</v>
      </c>
      <c r="AO35" s="8">
        <f t="shared" si="19"/>
        <v>47853.19276</v>
      </c>
      <c r="AP35" s="8">
        <f t="shared" si="19"/>
        <v>38974.88701</v>
      </c>
      <c r="AQ35" s="8">
        <f t="shared" si="19"/>
        <v>38258.26531</v>
      </c>
      <c r="AR35" s="8">
        <f t="shared" si="19"/>
        <v>37689.411</v>
      </c>
      <c r="AS35" s="8">
        <f t="shared" si="19"/>
        <v>35375.96173</v>
      </c>
      <c r="AT35" s="8">
        <f t="shared" si="19"/>
        <v>28189.42644</v>
      </c>
      <c r="AU35" s="8">
        <f t="shared" si="19"/>
        <v>22532.29365</v>
      </c>
      <c r="AV35" s="8">
        <f t="shared" si="19"/>
        <v>17127.55286</v>
      </c>
      <c r="AW35" s="8">
        <f t="shared" si="19"/>
        <v>13693.25394</v>
      </c>
      <c r="AX35" s="8">
        <f t="shared" si="19"/>
        <v>11012.54323</v>
      </c>
    </row>
    <row r="36" ht="15.75" customHeight="1">
      <c r="B36" s="2" t="s">
        <v>102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>
        <f t="shared" ref="U36:AX36" si="20">SUM(U34:U35)</f>
        <v>9843.75</v>
      </c>
      <c r="V36" s="8">
        <f t="shared" si="20"/>
        <v>9843.75</v>
      </c>
      <c r="W36" s="8">
        <f t="shared" si="20"/>
        <v>9843.75</v>
      </c>
      <c r="X36" s="8">
        <f t="shared" si="20"/>
        <v>15555.82031</v>
      </c>
      <c r="Y36" s="8">
        <f t="shared" si="20"/>
        <v>17445.08757</v>
      </c>
      <c r="Z36" s="8">
        <f t="shared" si="20"/>
        <v>18069.96271</v>
      </c>
      <c r="AA36" s="8">
        <f t="shared" si="20"/>
        <v>21322.74686</v>
      </c>
      <c r="AB36" s="8">
        <f t="shared" si="20"/>
        <v>29577.91495</v>
      </c>
      <c r="AC36" s="8">
        <f t="shared" si="20"/>
        <v>32763.37793</v>
      </c>
      <c r="AD36" s="8">
        <f t="shared" si="20"/>
        <v>53416.89329</v>
      </c>
      <c r="AE36" s="8">
        <f t="shared" si="20"/>
        <v>65940.66867</v>
      </c>
      <c r="AF36" s="8">
        <f t="shared" si="20"/>
        <v>73534.77296</v>
      </c>
      <c r="AG36" s="8">
        <f t="shared" si="20"/>
        <v>85243.25232</v>
      </c>
      <c r="AH36" s="8">
        <f t="shared" si="20"/>
        <v>120884.9348</v>
      </c>
      <c r="AI36" s="8">
        <f t="shared" si="20"/>
        <v>151534.9997</v>
      </c>
      <c r="AJ36" s="8">
        <f t="shared" si="20"/>
        <v>177892.523</v>
      </c>
      <c r="AK36" s="8">
        <f t="shared" si="20"/>
        <v>200558.6752</v>
      </c>
      <c r="AL36" s="8">
        <f t="shared" si="20"/>
        <v>220050.4327</v>
      </c>
      <c r="AM36" s="8">
        <f t="shared" si="20"/>
        <v>227704.2015</v>
      </c>
      <c r="AN36" s="8">
        <f t="shared" si="20"/>
        <v>234032.9116</v>
      </c>
      <c r="AO36" s="8">
        <f t="shared" si="20"/>
        <v>239265.9638</v>
      </c>
      <c r="AP36" s="8">
        <f t="shared" si="20"/>
        <v>233849.3221</v>
      </c>
      <c r="AQ36" s="8">
        <f t="shared" si="20"/>
        <v>229549.5919</v>
      </c>
      <c r="AR36" s="8">
        <f t="shared" si="20"/>
        <v>226136.466</v>
      </c>
      <c r="AS36" s="8">
        <f t="shared" si="20"/>
        <v>221565.234</v>
      </c>
      <c r="AT36" s="8">
        <f t="shared" si="20"/>
        <v>176554.8287</v>
      </c>
      <c r="AU36" s="8">
        <f t="shared" si="20"/>
        <v>141123.3129</v>
      </c>
      <c r="AV36" s="8">
        <f t="shared" si="20"/>
        <v>112280.6243</v>
      </c>
      <c r="AW36" s="8">
        <f t="shared" si="20"/>
        <v>89766.88692</v>
      </c>
      <c r="AX36" s="8">
        <f t="shared" si="20"/>
        <v>72193.33892</v>
      </c>
    </row>
    <row r="37" ht="15.75" customHeight="1">
      <c r="B37" s="2" t="s">
        <v>103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14">
        <f t="shared" ref="V37:AX37" si="21">(V36-U36)/U36</f>
        <v>0</v>
      </c>
      <c r="W37" s="14">
        <f t="shared" si="21"/>
        <v>0</v>
      </c>
      <c r="X37" s="14">
        <f t="shared" si="21"/>
        <v>0.5802738095</v>
      </c>
      <c r="Y37" s="14">
        <f t="shared" si="21"/>
        <v>0.1214508279</v>
      </c>
      <c r="Z37" s="14">
        <f t="shared" si="21"/>
        <v>0.03581954762</v>
      </c>
      <c r="AA37" s="14">
        <f t="shared" si="21"/>
        <v>0.1800105623</v>
      </c>
      <c r="AB37" s="14">
        <f t="shared" si="21"/>
        <v>0.3871531251</v>
      </c>
      <c r="AC37" s="14">
        <f t="shared" si="21"/>
        <v>0.1076973475</v>
      </c>
      <c r="AD37" s="14">
        <f t="shared" si="21"/>
        <v>0.6303841871</v>
      </c>
      <c r="AE37" s="14">
        <f t="shared" si="21"/>
        <v>0.2344534586</v>
      </c>
      <c r="AF37" s="14">
        <f t="shared" si="21"/>
        <v>0.1151657156</v>
      </c>
      <c r="AG37" s="14">
        <f t="shared" si="21"/>
        <v>0.1592237098</v>
      </c>
      <c r="AH37" s="14">
        <f t="shared" si="21"/>
        <v>0.4181173471</v>
      </c>
      <c r="AI37" s="14">
        <f t="shared" si="21"/>
        <v>0.2535474327</v>
      </c>
      <c r="AJ37" s="14">
        <f t="shared" si="21"/>
        <v>0.1739368683</v>
      </c>
      <c r="AK37" s="14">
        <f t="shared" si="21"/>
        <v>0.127414867</v>
      </c>
      <c r="AL37" s="14">
        <f t="shared" si="21"/>
        <v>0.09718730706</v>
      </c>
      <c r="AM37" s="14">
        <f t="shared" si="21"/>
        <v>0.03478188498</v>
      </c>
      <c r="AN37" s="14">
        <f t="shared" si="21"/>
        <v>0.02779355878</v>
      </c>
      <c r="AO37" s="14">
        <f t="shared" si="21"/>
        <v>0.02236032588</v>
      </c>
      <c r="AP37" s="14">
        <f t="shared" si="21"/>
        <v>-0.02263858032</v>
      </c>
      <c r="AQ37" s="14">
        <f t="shared" si="21"/>
        <v>-0.01838675509</v>
      </c>
      <c r="AR37" s="14">
        <f t="shared" si="21"/>
        <v>-0.01486879508</v>
      </c>
      <c r="AS37" s="14">
        <f t="shared" si="21"/>
        <v>-0.02021448419</v>
      </c>
      <c r="AT37" s="14">
        <f t="shared" si="21"/>
        <v>-0.2031474183</v>
      </c>
      <c r="AU37" s="14">
        <f t="shared" si="21"/>
        <v>-0.2006827915</v>
      </c>
      <c r="AV37" s="14">
        <f t="shared" si="21"/>
        <v>-0.2043793329</v>
      </c>
      <c r="AW37" s="14">
        <f t="shared" si="21"/>
        <v>-0.200513112</v>
      </c>
      <c r="AX37" s="14">
        <f t="shared" si="21"/>
        <v>-0.1957687138</v>
      </c>
    </row>
    <row r="38" ht="15.75" customHeight="1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ht="15.75" customHeight="1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ht="15.75" customHeight="1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ht="15.75" customHeight="1">
      <c r="A41" s="2" t="s">
        <v>104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ht="15.75" customHeight="1">
      <c r="B42" s="2" t="s">
        <v>105</v>
      </c>
      <c r="C42" s="8" t="str">
        <f t="shared" ref="C42:AX42" si="22">C5</f>
        <v/>
      </c>
      <c r="D42" s="8" t="str">
        <f t="shared" si="22"/>
        <v/>
      </c>
      <c r="E42" s="8" t="str">
        <f t="shared" si="22"/>
        <v/>
      </c>
      <c r="F42" s="8" t="str">
        <f t="shared" si="22"/>
        <v/>
      </c>
      <c r="G42" s="8" t="str">
        <f t="shared" si="22"/>
        <v/>
      </c>
      <c r="H42" s="8" t="str">
        <f t="shared" si="22"/>
        <v/>
      </c>
      <c r="I42" s="8" t="str">
        <f t="shared" si="22"/>
        <v/>
      </c>
      <c r="J42" s="8" t="str">
        <f t="shared" si="22"/>
        <v/>
      </c>
      <c r="K42" s="8" t="str">
        <f t="shared" si="22"/>
        <v/>
      </c>
      <c r="L42" s="8" t="str">
        <f t="shared" si="22"/>
        <v/>
      </c>
      <c r="M42" s="8" t="str">
        <f t="shared" si="22"/>
        <v/>
      </c>
      <c r="N42" s="8" t="str">
        <f t="shared" si="22"/>
        <v/>
      </c>
      <c r="O42" s="8" t="str">
        <f t="shared" si="22"/>
        <v/>
      </c>
      <c r="P42" s="8" t="str">
        <f t="shared" si="22"/>
        <v/>
      </c>
      <c r="Q42" s="8" t="str">
        <f t="shared" si="22"/>
        <v/>
      </c>
      <c r="R42" s="8" t="str">
        <f t="shared" si="22"/>
        <v/>
      </c>
      <c r="S42" s="8" t="str">
        <f t="shared" si="22"/>
        <v/>
      </c>
      <c r="T42" s="8" t="str">
        <f t="shared" si="22"/>
        <v/>
      </c>
      <c r="U42" s="8">
        <f t="shared" si="22"/>
        <v>39375</v>
      </c>
      <c r="V42" s="8">
        <f t="shared" si="22"/>
        <v>39375</v>
      </c>
      <c r="W42" s="8">
        <f t="shared" si="22"/>
        <v>39375</v>
      </c>
      <c r="X42" s="8">
        <f t="shared" si="22"/>
        <v>51852.73438</v>
      </c>
      <c r="Y42" s="8">
        <f t="shared" si="22"/>
        <v>58150.29189</v>
      </c>
      <c r="Z42" s="8">
        <f t="shared" si="22"/>
        <v>60233.20904</v>
      </c>
      <c r="AA42" s="8">
        <f t="shared" si="22"/>
        <v>60922.13389</v>
      </c>
      <c r="AB42" s="8">
        <f t="shared" si="22"/>
        <v>84508.32842</v>
      </c>
      <c r="AC42" s="8">
        <f t="shared" si="22"/>
        <v>93609.65123</v>
      </c>
      <c r="AD42" s="8">
        <f t="shared" si="22"/>
        <v>97121.62417</v>
      </c>
      <c r="AE42" s="8">
        <f t="shared" si="22"/>
        <v>119892.1249</v>
      </c>
      <c r="AF42" s="8">
        <f t="shared" si="22"/>
        <v>133699.5872</v>
      </c>
      <c r="AG42" s="8">
        <f t="shared" si="22"/>
        <v>142072.0872</v>
      </c>
      <c r="AH42" s="8">
        <f t="shared" si="22"/>
        <v>154980.6857</v>
      </c>
      <c r="AI42" s="8">
        <f t="shared" si="22"/>
        <v>194275.6406</v>
      </c>
      <c r="AJ42" s="8">
        <f t="shared" si="22"/>
        <v>228067.3372</v>
      </c>
      <c r="AK42" s="8">
        <f t="shared" si="22"/>
        <v>257126.5066</v>
      </c>
      <c r="AL42" s="8">
        <f t="shared" si="22"/>
        <v>282115.9394</v>
      </c>
      <c r="AM42" s="8">
        <f t="shared" si="22"/>
        <v>303605.602</v>
      </c>
      <c r="AN42" s="8">
        <f t="shared" si="22"/>
        <v>312043.8822</v>
      </c>
      <c r="AO42" s="8">
        <f t="shared" si="22"/>
        <v>319021.2851</v>
      </c>
      <c r="AP42" s="8">
        <f t="shared" si="22"/>
        <v>324790.7251</v>
      </c>
      <c r="AQ42" s="8">
        <f t="shared" si="22"/>
        <v>318818.8776</v>
      </c>
      <c r="AR42" s="8">
        <f t="shared" si="22"/>
        <v>314078.425</v>
      </c>
      <c r="AS42" s="8">
        <f t="shared" si="22"/>
        <v>310315.4538</v>
      </c>
      <c r="AT42" s="8">
        <f t="shared" si="22"/>
        <v>247275.6705</v>
      </c>
      <c r="AU42" s="8">
        <f t="shared" si="22"/>
        <v>197651.6987</v>
      </c>
      <c r="AV42" s="8">
        <f t="shared" si="22"/>
        <v>158588.4524</v>
      </c>
      <c r="AW42" s="8">
        <f t="shared" si="22"/>
        <v>126789.3883</v>
      </c>
      <c r="AX42" s="8">
        <f t="shared" si="22"/>
        <v>101967.9928</v>
      </c>
    </row>
    <row r="43" ht="15.75" customHeight="1">
      <c r="A43" s="27"/>
      <c r="B43" s="28" t="s">
        <v>106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>
        <v>0.1</v>
      </c>
      <c r="V43" s="27">
        <v>0.1</v>
      </c>
      <c r="W43" s="27">
        <v>0.1</v>
      </c>
      <c r="X43" s="27">
        <v>0.1</v>
      </c>
      <c r="Y43" s="27">
        <v>0.1</v>
      </c>
      <c r="Z43" s="27">
        <v>0.1</v>
      </c>
      <c r="AA43" s="27">
        <v>0.1</v>
      </c>
      <c r="AB43" s="27">
        <v>0.1</v>
      </c>
      <c r="AC43" s="27">
        <v>0.1</v>
      </c>
      <c r="AD43" s="27">
        <v>0.1</v>
      </c>
      <c r="AE43" s="27">
        <v>0.1</v>
      </c>
      <c r="AF43" s="27">
        <v>0.1</v>
      </c>
      <c r="AG43" s="27">
        <v>0.1</v>
      </c>
      <c r="AH43" s="27">
        <v>0.1</v>
      </c>
      <c r="AI43" s="27">
        <v>0.1</v>
      </c>
      <c r="AJ43" s="27">
        <v>0.1</v>
      </c>
      <c r="AK43" s="27">
        <v>0.1</v>
      </c>
      <c r="AL43" s="27">
        <v>0.1</v>
      </c>
      <c r="AM43" s="27">
        <v>0.1</v>
      </c>
      <c r="AN43" s="27">
        <v>0.1</v>
      </c>
      <c r="AO43" s="27">
        <v>0.1</v>
      </c>
      <c r="AP43" s="27">
        <v>0.1</v>
      </c>
      <c r="AQ43" s="27">
        <v>0.1</v>
      </c>
      <c r="AR43" s="27">
        <v>0.1</v>
      </c>
      <c r="AS43" s="27">
        <v>0.1</v>
      </c>
      <c r="AT43" s="27">
        <v>0.1</v>
      </c>
      <c r="AU43" s="27">
        <v>0.1</v>
      </c>
      <c r="AV43" s="27">
        <v>0.1</v>
      </c>
      <c r="AW43" s="27">
        <v>0.1</v>
      </c>
      <c r="AX43" s="27">
        <v>0.1</v>
      </c>
      <c r="AY43" s="27"/>
    </row>
    <row r="44" ht="15.75" customHeight="1">
      <c r="A44" s="14"/>
      <c r="B44" s="14" t="s">
        <v>107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>
        <f t="shared" ref="U44:AX44" si="23">U8</f>
        <v>0.01</v>
      </c>
      <c r="V44" s="14">
        <f t="shared" si="23"/>
        <v>0.01</v>
      </c>
      <c r="W44" s="14">
        <f t="shared" si="23"/>
        <v>0.01</v>
      </c>
      <c r="X44" s="14">
        <f t="shared" si="23"/>
        <v>0.012</v>
      </c>
      <c r="Y44" s="14">
        <f t="shared" si="23"/>
        <v>0.012</v>
      </c>
      <c r="Z44" s="14">
        <f t="shared" si="23"/>
        <v>0.012</v>
      </c>
      <c r="AA44" s="14">
        <f t="shared" si="23"/>
        <v>0.014</v>
      </c>
      <c r="AB44" s="14">
        <f t="shared" si="23"/>
        <v>0.014</v>
      </c>
      <c r="AC44" s="14">
        <f t="shared" si="23"/>
        <v>0.014</v>
      </c>
      <c r="AD44" s="14">
        <f t="shared" si="23"/>
        <v>0.022</v>
      </c>
      <c r="AE44" s="14">
        <f t="shared" si="23"/>
        <v>0.022</v>
      </c>
      <c r="AF44" s="14">
        <f t="shared" si="23"/>
        <v>0.022</v>
      </c>
      <c r="AG44" s="14">
        <f t="shared" si="23"/>
        <v>0.024</v>
      </c>
      <c r="AH44" s="14">
        <f t="shared" si="23"/>
        <v>0.024</v>
      </c>
      <c r="AI44" s="14">
        <f t="shared" si="23"/>
        <v>0.024</v>
      </c>
      <c r="AJ44" s="14">
        <f t="shared" si="23"/>
        <v>0.024</v>
      </c>
      <c r="AK44" s="14">
        <f t="shared" si="23"/>
        <v>0.024</v>
      </c>
      <c r="AL44" s="14">
        <f t="shared" si="23"/>
        <v>0.024</v>
      </c>
      <c r="AM44" s="14">
        <f t="shared" si="23"/>
        <v>0.024</v>
      </c>
      <c r="AN44" s="14">
        <f t="shared" si="23"/>
        <v>0.024</v>
      </c>
      <c r="AO44" s="14">
        <f t="shared" si="23"/>
        <v>0.024</v>
      </c>
      <c r="AP44" s="14">
        <f t="shared" si="23"/>
        <v>0.024</v>
      </c>
      <c r="AQ44" s="14">
        <f t="shared" si="23"/>
        <v>0.024</v>
      </c>
      <c r="AR44" s="14">
        <f t="shared" si="23"/>
        <v>0.024</v>
      </c>
      <c r="AS44" s="14">
        <f t="shared" si="23"/>
        <v>0.024</v>
      </c>
      <c r="AT44" s="14">
        <f t="shared" si="23"/>
        <v>0.024</v>
      </c>
      <c r="AU44" s="14">
        <f t="shared" si="23"/>
        <v>0.024</v>
      </c>
      <c r="AV44" s="14">
        <f t="shared" si="23"/>
        <v>0.024</v>
      </c>
      <c r="AW44" s="14">
        <f t="shared" si="23"/>
        <v>0.024</v>
      </c>
      <c r="AX44" s="14">
        <f t="shared" si="23"/>
        <v>0.024</v>
      </c>
      <c r="AY44" s="14"/>
    </row>
    <row r="45" ht="15.75" customHeight="1">
      <c r="B45" s="2" t="s">
        <v>108</v>
      </c>
      <c r="C45" s="8">
        <v>0.0</v>
      </c>
      <c r="D45" s="8">
        <f t="shared" ref="D45:AX45" si="24">IFERROR((D43*D42)/D9,0)</f>
        <v>0</v>
      </c>
      <c r="E45" s="8">
        <f t="shared" si="24"/>
        <v>0</v>
      </c>
      <c r="F45" s="8">
        <f t="shared" si="24"/>
        <v>0</v>
      </c>
      <c r="G45" s="8">
        <f t="shared" si="24"/>
        <v>0</v>
      </c>
      <c r="H45" s="8">
        <f t="shared" si="24"/>
        <v>0</v>
      </c>
      <c r="I45" s="8">
        <f t="shared" si="24"/>
        <v>0</v>
      </c>
      <c r="J45" s="8">
        <f t="shared" si="24"/>
        <v>0</v>
      </c>
      <c r="K45" s="8">
        <f t="shared" si="24"/>
        <v>0</v>
      </c>
      <c r="L45" s="8">
        <f t="shared" si="24"/>
        <v>0</v>
      </c>
      <c r="M45" s="8">
        <f t="shared" si="24"/>
        <v>0</v>
      </c>
      <c r="N45" s="8">
        <f t="shared" si="24"/>
        <v>0</v>
      </c>
      <c r="O45" s="8">
        <f t="shared" si="24"/>
        <v>0</v>
      </c>
      <c r="P45" s="8">
        <f t="shared" si="24"/>
        <v>0</v>
      </c>
      <c r="Q45" s="8">
        <f t="shared" si="24"/>
        <v>0</v>
      </c>
      <c r="R45" s="8">
        <f t="shared" si="24"/>
        <v>0</v>
      </c>
      <c r="S45" s="8">
        <f t="shared" si="24"/>
        <v>0</v>
      </c>
      <c r="T45" s="8">
        <f t="shared" si="24"/>
        <v>0</v>
      </c>
      <c r="U45" s="8">
        <f t="shared" si="24"/>
        <v>10</v>
      </c>
      <c r="V45" s="8">
        <f t="shared" si="24"/>
        <v>10</v>
      </c>
      <c r="W45" s="8">
        <f t="shared" si="24"/>
        <v>10</v>
      </c>
      <c r="X45" s="8">
        <f t="shared" si="24"/>
        <v>8.333333333</v>
      </c>
      <c r="Y45" s="8">
        <f t="shared" si="24"/>
        <v>8.333333333</v>
      </c>
      <c r="Z45" s="8">
        <f t="shared" si="24"/>
        <v>8.333333333</v>
      </c>
      <c r="AA45" s="8">
        <f t="shared" si="24"/>
        <v>7.142857143</v>
      </c>
      <c r="AB45" s="8">
        <f t="shared" si="24"/>
        <v>7.142857143</v>
      </c>
      <c r="AC45" s="8">
        <f t="shared" si="24"/>
        <v>7.142857143</v>
      </c>
      <c r="AD45" s="8">
        <f t="shared" si="24"/>
        <v>4.545454545</v>
      </c>
      <c r="AE45" s="8">
        <f t="shared" si="24"/>
        <v>4.545454545</v>
      </c>
      <c r="AF45" s="8">
        <f t="shared" si="24"/>
        <v>4.545454545</v>
      </c>
      <c r="AG45" s="8">
        <f t="shared" si="24"/>
        <v>4.166666667</v>
      </c>
      <c r="AH45" s="8">
        <f t="shared" si="24"/>
        <v>4.166666667</v>
      </c>
      <c r="AI45" s="8">
        <f t="shared" si="24"/>
        <v>4.166666667</v>
      </c>
      <c r="AJ45" s="8">
        <f t="shared" si="24"/>
        <v>4.166666667</v>
      </c>
      <c r="AK45" s="8">
        <f t="shared" si="24"/>
        <v>4.166666667</v>
      </c>
      <c r="AL45" s="8">
        <f t="shared" si="24"/>
        <v>4.166666667</v>
      </c>
      <c r="AM45" s="8">
        <f t="shared" si="24"/>
        <v>4.166666667</v>
      </c>
      <c r="AN45" s="8">
        <f t="shared" si="24"/>
        <v>4.166666667</v>
      </c>
      <c r="AO45" s="8">
        <f t="shared" si="24"/>
        <v>4.166666667</v>
      </c>
      <c r="AP45" s="8">
        <f t="shared" si="24"/>
        <v>4.166666667</v>
      </c>
      <c r="AQ45" s="8">
        <f t="shared" si="24"/>
        <v>4.166666667</v>
      </c>
      <c r="AR45" s="8">
        <f t="shared" si="24"/>
        <v>4.166666667</v>
      </c>
      <c r="AS45" s="8">
        <f t="shared" si="24"/>
        <v>4.166666667</v>
      </c>
      <c r="AT45" s="8">
        <f t="shared" si="24"/>
        <v>4.166666667</v>
      </c>
      <c r="AU45" s="8">
        <f t="shared" si="24"/>
        <v>4.166666667</v>
      </c>
      <c r="AV45" s="8">
        <f t="shared" si="24"/>
        <v>4.166666667</v>
      </c>
      <c r="AW45" s="8">
        <f t="shared" si="24"/>
        <v>4.166666667</v>
      </c>
      <c r="AX45" s="8">
        <f t="shared" si="24"/>
        <v>4.166666667</v>
      </c>
    </row>
    <row r="46" ht="15.75" customHeight="1">
      <c r="A46" s="18"/>
      <c r="B46" s="18" t="s">
        <v>109</v>
      </c>
      <c r="C46" s="19">
        <f t="shared" ref="C46:N46" si="25">C45*C5</f>
        <v>0</v>
      </c>
      <c r="D46" s="19">
        <f t="shared" si="25"/>
        <v>0</v>
      </c>
      <c r="E46" s="19">
        <f t="shared" si="25"/>
        <v>0</v>
      </c>
      <c r="F46" s="19">
        <f t="shared" si="25"/>
        <v>0</v>
      </c>
      <c r="G46" s="19">
        <f t="shared" si="25"/>
        <v>0</v>
      </c>
      <c r="H46" s="19">
        <f t="shared" si="25"/>
        <v>0</v>
      </c>
      <c r="I46" s="19">
        <f t="shared" si="25"/>
        <v>0</v>
      </c>
      <c r="J46" s="19">
        <f t="shared" si="25"/>
        <v>0</v>
      </c>
      <c r="K46" s="19">
        <f t="shared" si="25"/>
        <v>0</v>
      </c>
      <c r="L46" s="19">
        <f t="shared" si="25"/>
        <v>0</v>
      </c>
      <c r="M46" s="19">
        <f t="shared" si="25"/>
        <v>0</v>
      </c>
      <c r="N46" s="19">
        <f t="shared" si="25"/>
        <v>0</v>
      </c>
      <c r="O46" s="19"/>
      <c r="P46" s="19"/>
      <c r="Q46" s="19"/>
      <c r="R46" s="19"/>
      <c r="S46" s="19"/>
      <c r="T46" s="19"/>
      <c r="U46" s="26">
        <v>0.3</v>
      </c>
      <c r="V46" s="26">
        <v>0.3</v>
      </c>
      <c r="W46" s="26">
        <v>0.3</v>
      </c>
      <c r="X46" s="26">
        <v>0.3</v>
      </c>
      <c r="Y46" s="26">
        <v>0.3</v>
      </c>
      <c r="Z46" s="26">
        <v>0.3</v>
      </c>
      <c r="AA46" s="26">
        <v>0.3</v>
      </c>
      <c r="AB46" s="26">
        <v>0.3</v>
      </c>
      <c r="AC46" s="26">
        <v>0.3</v>
      </c>
      <c r="AD46" s="26">
        <v>0.3</v>
      </c>
      <c r="AE46" s="26">
        <v>0.3</v>
      </c>
      <c r="AF46" s="26">
        <v>0.3</v>
      </c>
      <c r="AG46" s="26">
        <v>0.3</v>
      </c>
      <c r="AH46" s="26">
        <v>0.3</v>
      </c>
      <c r="AI46" s="26">
        <v>0.3</v>
      </c>
      <c r="AJ46" s="26">
        <v>0.3</v>
      </c>
      <c r="AK46" s="26">
        <v>0.3</v>
      </c>
      <c r="AL46" s="26">
        <v>0.3</v>
      </c>
      <c r="AM46" s="26">
        <v>0.3</v>
      </c>
      <c r="AN46" s="26">
        <v>0.3</v>
      </c>
      <c r="AO46" s="26">
        <v>0.3</v>
      </c>
      <c r="AP46" s="26">
        <v>0.3</v>
      </c>
      <c r="AQ46" s="26">
        <v>0.3</v>
      </c>
      <c r="AR46" s="26">
        <v>0.3</v>
      </c>
      <c r="AS46" s="26">
        <v>0.3</v>
      </c>
      <c r="AT46" s="26">
        <v>0.3</v>
      </c>
      <c r="AU46" s="26">
        <v>0.3</v>
      </c>
      <c r="AV46" s="26">
        <v>0.3</v>
      </c>
      <c r="AW46" s="26">
        <v>0.3</v>
      </c>
      <c r="AX46" s="26">
        <v>0.3</v>
      </c>
      <c r="AY46" s="18"/>
    </row>
    <row r="47" ht="15.75" customHeight="1">
      <c r="A47" s="18"/>
      <c r="B47" s="18" t="s">
        <v>110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>
        <f t="shared" ref="U47:AX47" si="26">U46*U76</f>
        <v>2953.125</v>
      </c>
      <c r="V47" s="19">
        <f t="shared" si="26"/>
        <v>2953.125</v>
      </c>
      <c r="W47" s="19">
        <f t="shared" si="26"/>
        <v>2953.125</v>
      </c>
      <c r="X47" s="19">
        <f t="shared" si="26"/>
        <v>4666.746094</v>
      </c>
      <c r="Y47" s="19">
        <f t="shared" si="26"/>
        <v>5233.526271</v>
      </c>
      <c r="Z47" s="19">
        <f t="shared" si="26"/>
        <v>5420.988814</v>
      </c>
      <c r="AA47" s="19">
        <f t="shared" si="26"/>
        <v>6396.824059</v>
      </c>
      <c r="AB47" s="19">
        <f t="shared" si="26"/>
        <v>8873.374484</v>
      </c>
      <c r="AC47" s="19">
        <f t="shared" si="26"/>
        <v>9829.013379</v>
      </c>
      <c r="AD47" s="19">
        <f t="shared" si="26"/>
        <v>16025.06799</v>
      </c>
      <c r="AE47" s="19">
        <f t="shared" si="26"/>
        <v>19782.2006</v>
      </c>
      <c r="AF47" s="19">
        <f t="shared" si="26"/>
        <v>22060.43189</v>
      </c>
      <c r="AG47" s="19">
        <f t="shared" si="26"/>
        <v>25572.97569</v>
      </c>
      <c r="AH47" s="19">
        <f t="shared" si="26"/>
        <v>36265.48045</v>
      </c>
      <c r="AI47" s="19">
        <f t="shared" si="26"/>
        <v>45460.49991</v>
      </c>
      <c r="AJ47" s="19">
        <f t="shared" si="26"/>
        <v>53367.7569</v>
      </c>
      <c r="AK47" s="19">
        <f t="shared" si="26"/>
        <v>60167.60255</v>
      </c>
      <c r="AL47" s="19">
        <f t="shared" si="26"/>
        <v>66015.12981</v>
      </c>
      <c r="AM47" s="19">
        <f t="shared" si="26"/>
        <v>68311.26046</v>
      </c>
      <c r="AN47" s="19">
        <f t="shared" si="26"/>
        <v>70209.87349</v>
      </c>
      <c r="AO47" s="19">
        <f t="shared" si="26"/>
        <v>71779.78914</v>
      </c>
      <c r="AP47" s="19">
        <f t="shared" si="26"/>
        <v>70154.79662</v>
      </c>
      <c r="AQ47" s="19">
        <f t="shared" si="26"/>
        <v>68864.87756</v>
      </c>
      <c r="AR47" s="19">
        <f t="shared" si="26"/>
        <v>67840.93981</v>
      </c>
      <c r="AS47" s="19">
        <f t="shared" si="26"/>
        <v>66469.5702</v>
      </c>
      <c r="AT47" s="19">
        <f t="shared" si="26"/>
        <v>52966.44862</v>
      </c>
      <c r="AU47" s="19">
        <f t="shared" si="26"/>
        <v>42336.99386</v>
      </c>
      <c r="AV47" s="19">
        <f t="shared" si="26"/>
        <v>33684.18729</v>
      </c>
      <c r="AW47" s="19">
        <f t="shared" si="26"/>
        <v>26930.06608</v>
      </c>
      <c r="AX47" s="19">
        <f t="shared" si="26"/>
        <v>21658.00168</v>
      </c>
      <c r="AY47" s="18"/>
    </row>
    <row r="48" ht="15.75" customHeight="1">
      <c r="A48" s="2" t="s">
        <v>111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ht="15.75" customHeight="1">
      <c r="B49" s="2" t="s">
        <v>112</v>
      </c>
      <c r="C49" s="8"/>
      <c r="D49" s="8"/>
      <c r="E49" s="8"/>
      <c r="F49" s="8"/>
      <c r="G49" s="8"/>
      <c r="H49" s="8"/>
      <c r="I49" s="8"/>
      <c r="J49" s="8"/>
      <c r="K49" s="8">
        <v>1.0</v>
      </c>
      <c r="L49" s="8">
        <v>1.0</v>
      </c>
      <c r="M49" s="8">
        <v>1.0</v>
      </c>
      <c r="N49" s="8">
        <v>1.0</v>
      </c>
      <c r="O49" s="8">
        <v>1.0</v>
      </c>
      <c r="P49" s="8">
        <v>1.0</v>
      </c>
      <c r="Q49" s="8">
        <v>1.0</v>
      </c>
      <c r="R49" s="8">
        <v>1.0</v>
      </c>
      <c r="S49" s="8">
        <v>1.0</v>
      </c>
      <c r="T49" s="8">
        <v>1.0</v>
      </c>
      <c r="U49" s="8">
        <v>1.0</v>
      </c>
      <c r="V49" s="8">
        <v>1.0</v>
      </c>
      <c r="W49" s="8">
        <v>1.0</v>
      </c>
      <c r="X49" s="8">
        <v>1.0</v>
      </c>
      <c r="Y49" s="8">
        <v>1.0</v>
      </c>
      <c r="Z49" s="8">
        <v>1.0</v>
      </c>
      <c r="AA49" s="8">
        <v>1.0</v>
      </c>
      <c r="AB49" s="8">
        <v>1.0</v>
      </c>
      <c r="AC49" s="8">
        <v>1.0</v>
      </c>
      <c r="AD49" s="8">
        <v>1.0</v>
      </c>
      <c r="AE49" s="8">
        <v>1.0</v>
      </c>
      <c r="AF49" s="8">
        <v>1.0</v>
      </c>
      <c r="AG49" s="8">
        <v>1.0</v>
      </c>
      <c r="AH49" s="8">
        <v>1.0</v>
      </c>
      <c r="AI49" s="8">
        <v>1.0</v>
      </c>
      <c r="AJ49" s="8">
        <v>1.0</v>
      </c>
      <c r="AK49" s="8">
        <v>1.0</v>
      </c>
      <c r="AL49" s="8">
        <v>1.0</v>
      </c>
      <c r="AM49" s="8">
        <v>1.0</v>
      </c>
      <c r="AN49" s="8">
        <v>1.0</v>
      </c>
      <c r="AO49" s="8">
        <v>1.0</v>
      </c>
      <c r="AP49" s="8">
        <v>1.0</v>
      </c>
      <c r="AQ49" s="8">
        <v>1.0</v>
      </c>
      <c r="AR49" s="8">
        <v>1.0</v>
      </c>
      <c r="AS49" s="8">
        <v>1.0</v>
      </c>
      <c r="AT49" s="8">
        <v>1.0</v>
      </c>
      <c r="AU49" s="8">
        <v>1.0</v>
      </c>
      <c r="AV49" s="8">
        <v>1.0</v>
      </c>
      <c r="AW49" s="8">
        <v>1.0</v>
      </c>
      <c r="AX49" s="8">
        <v>1.0</v>
      </c>
    </row>
    <row r="50" ht="15.75" customHeight="1">
      <c r="B50" s="2" t="s">
        <v>113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>
        <v>1.0</v>
      </c>
      <c r="AH50" s="8">
        <v>1.0</v>
      </c>
      <c r="AI50" s="8">
        <v>1.0</v>
      </c>
      <c r="AJ50" s="8">
        <v>1.0</v>
      </c>
      <c r="AK50" s="8">
        <v>1.0</v>
      </c>
      <c r="AL50" s="8">
        <v>1.0</v>
      </c>
      <c r="AM50" s="8">
        <v>1.0</v>
      </c>
      <c r="AN50" s="8">
        <v>1.0</v>
      </c>
      <c r="AO50" s="8">
        <v>1.0</v>
      </c>
      <c r="AP50" s="8">
        <v>1.0</v>
      </c>
      <c r="AQ50" s="8">
        <v>1.0</v>
      </c>
      <c r="AR50" s="8">
        <v>1.0</v>
      </c>
      <c r="AS50" s="8">
        <v>1.0</v>
      </c>
      <c r="AT50" s="8">
        <v>1.0</v>
      </c>
      <c r="AU50" s="8">
        <v>1.0</v>
      </c>
      <c r="AV50" s="8">
        <v>1.0</v>
      </c>
      <c r="AW50" s="8">
        <v>1.0</v>
      </c>
      <c r="AX50" s="8">
        <v>1.0</v>
      </c>
    </row>
    <row r="51" ht="15.75" customHeight="1">
      <c r="B51" s="2" t="s">
        <v>114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>
        <v>1.0</v>
      </c>
      <c r="P51" s="8">
        <v>1.0</v>
      </c>
      <c r="Q51" s="8">
        <v>1.0</v>
      </c>
      <c r="R51" s="8">
        <v>1.0</v>
      </c>
      <c r="S51" s="8">
        <v>1.0</v>
      </c>
      <c r="T51" s="8">
        <v>1.0</v>
      </c>
      <c r="U51" s="8">
        <v>1.0</v>
      </c>
      <c r="V51" s="8">
        <v>1.0</v>
      </c>
      <c r="W51" s="8">
        <v>1.0</v>
      </c>
      <c r="X51" s="8">
        <v>1.0</v>
      </c>
      <c r="Y51" s="8">
        <v>1.0</v>
      </c>
      <c r="Z51" s="8">
        <v>1.0</v>
      </c>
      <c r="AA51" s="8">
        <v>1.0</v>
      </c>
      <c r="AB51" s="8">
        <v>1.0</v>
      </c>
      <c r="AC51" s="8">
        <v>1.0</v>
      </c>
      <c r="AD51" s="8">
        <v>1.0</v>
      </c>
      <c r="AE51" s="8">
        <v>1.0</v>
      </c>
      <c r="AF51" s="8">
        <v>1.0</v>
      </c>
      <c r="AG51" s="8">
        <v>1.0</v>
      </c>
      <c r="AH51" s="8">
        <v>1.0</v>
      </c>
      <c r="AI51" s="8">
        <v>1.0</v>
      </c>
      <c r="AJ51" s="8">
        <v>1.0</v>
      </c>
      <c r="AK51" s="8">
        <v>1.0</v>
      </c>
      <c r="AL51" s="8">
        <v>1.0</v>
      </c>
      <c r="AM51" s="8">
        <v>1.0</v>
      </c>
      <c r="AN51" s="8">
        <v>1.0</v>
      </c>
      <c r="AO51" s="8">
        <v>1.0</v>
      </c>
      <c r="AP51" s="8">
        <v>1.0</v>
      </c>
      <c r="AQ51" s="8">
        <v>1.0</v>
      </c>
      <c r="AR51" s="8">
        <v>1.0</v>
      </c>
      <c r="AS51" s="8">
        <v>1.0</v>
      </c>
      <c r="AT51" s="8">
        <v>1.0</v>
      </c>
      <c r="AU51" s="8">
        <v>1.0</v>
      </c>
      <c r="AV51" s="8">
        <v>1.0</v>
      </c>
      <c r="AW51" s="8">
        <v>1.0</v>
      </c>
      <c r="AX51" s="8">
        <v>1.0</v>
      </c>
    </row>
    <row r="52" ht="15.75" customHeight="1">
      <c r="B52" s="2" t="s">
        <v>115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>
        <v>1.0</v>
      </c>
      <c r="AB52" s="8">
        <v>1.0</v>
      </c>
      <c r="AC52" s="8">
        <v>1.0</v>
      </c>
      <c r="AD52" s="8">
        <v>1.0</v>
      </c>
      <c r="AE52" s="8">
        <v>1.0</v>
      </c>
      <c r="AF52" s="8">
        <v>1.0</v>
      </c>
      <c r="AG52" s="8">
        <v>1.0</v>
      </c>
      <c r="AH52" s="8">
        <v>1.0</v>
      </c>
      <c r="AI52" s="8">
        <v>1.0</v>
      </c>
      <c r="AJ52" s="8">
        <v>1.0</v>
      </c>
      <c r="AK52" s="8">
        <v>1.0</v>
      </c>
      <c r="AL52" s="8">
        <v>1.0</v>
      </c>
      <c r="AM52" s="8">
        <v>1.0</v>
      </c>
      <c r="AN52" s="8">
        <v>1.0</v>
      </c>
      <c r="AO52" s="8">
        <v>1.0</v>
      </c>
      <c r="AP52" s="8">
        <v>1.0</v>
      </c>
      <c r="AQ52" s="8">
        <v>1.0</v>
      </c>
      <c r="AR52" s="8">
        <v>1.0</v>
      </c>
      <c r="AS52" s="8">
        <v>1.0</v>
      </c>
      <c r="AT52" s="8">
        <v>1.0</v>
      </c>
      <c r="AU52" s="8">
        <v>1.0</v>
      </c>
      <c r="AV52" s="8">
        <v>1.0</v>
      </c>
      <c r="AW52" s="8">
        <v>1.0</v>
      </c>
      <c r="AX52" s="8">
        <v>1.0</v>
      </c>
    </row>
    <row r="53" ht="15.75" customHeight="1">
      <c r="B53" s="2" t="s">
        <v>116</v>
      </c>
      <c r="C53" s="8"/>
      <c r="D53" s="8"/>
      <c r="E53" s="8"/>
      <c r="F53" s="8"/>
      <c r="G53" s="8"/>
      <c r="H53" s="8"/>
      <c r="I53" s="8"/>
      <c r="J53" s="8"/>
      <c r="K53" s="8"/>
      <c r="L53" s="8">
        <v>1.0</v>
      </c>
      <c r="M53" s="8">
        <v>1.0</v>
      </c>
      <c r="N53" s="8">
        <v>1.0</v>
      </c>
      <c r="O53" s="8">
        <v>1.0</v>
      </c>
      <c r="P53" s="8">
        <v>1.0</v>
      </c>
      <c r="Q53" s="8">
        <v>1.0</v>
      </c>
      <c r="R53" s="8">
        <v>1.0</v>
      </c>
      <c r="S53" s="8">
        <v>1.0</v>
      </c>
      <c r="T53" s="8">
        <v>1.0</v>
      </c>
      <c r="U53" s="8">
        <v>1.0</v>
      </c>
      <c r="V53" s="8">
        <v>2.0</v>
      </c>
      <c r="W53" s="8">
        <v>2.0</v>
      </c>
      <c r="X53" s="8">
        <v>2.0</v>
      </c>
      <c r="Y53" s="8">
        <v>2.0</v>
      </c>
      <c r="Z53" s="8">
        <v>2.0</v>
      </c>
      <c r="AA53" s="8">
        <v>2.0</v>
      </c>
      <c r="AB53" s="8">
        <v>2.0</v>
      </c>
      <c r="AC53" s="8">
        <v>2.0</v>
      </c>
      <c r="AD53" s="8">
        <v>2.0</v>
      </c>
      <c r="AE53" s="8">
        <v>2.0</v>
      </c>
      <c r="AF53" s="8">
        <v>2.0</v>
      </c>
      <c r="AG53" s="8">
        <v>2.0</v>
      </c>
      <c r="AH53" s="8">
        <v>2.0</v>
      </c>
      <c r="AI53" s="8">
        <v>2.0</v>
      </c>
      <c r="AJ53" s="8">
        <v>2.0</v>
      </c>
      <c r="AK53" s="8">
        <v>2.0</v>
      </c>
      <c r="AL53" s="8">
        <v>2.0</v>
      </c>
      <c r="AM53" s="8">
        <v>2.0</v>
      </c>
      <c r="AN53" s="8">
        <v>2.0</v>
      </c>
      <c r="AO53" s="8">
        <v>2.0</v>
      </c>
      <c r="AP53" s="8">
        <v>2.0</v>
      </c>
      <c r="AQ53" s="8">
        <v>2.0</v>
      </c>
      <c r="AR53" s="8">
        <v>2.0</v>
      </c>
      <c r="AS53" s="8">
        <v>2.0</v>
      </c>
      <c r="AT53" s="8">
        <v>2.0</v>
      </c>
      <c r="AU53" s="8">
        <v>2.0</v>
      </c>
      <c r="AV53" s="8">
        <v>2.0</v>
      </c>
      <c r="AW53" s="8">
        <v>2.0</v>
      </c>
      <c r="AX53" s="8">
        <v>2.0</v>
      </c>
    </row>
    <row r="54" ht="15.75" customHeight="1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ht="15.75" customHeight="1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ht="15.75" customHeight="1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ht="15.75" customHeight="1">
      <c r="A57" s="2" t="s">
        <v>117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ht="15.75" customHeight="1">
      <c r="A58" s="8">
        <v>3500.0</v>
      </c>
      <c r="B58" s="2" t="s">
        <v>118</v>
      </c>
      <c r="C58" s="8">
        <f t="shared" ref="C58:AX58" si="27">C49*$A58</f>
        <v>0</v>
      </c>
      <c r="D58" s="8">
        <f t="shared" si="27"/>
        <v>0</v>
      </c>
      <c r="E58" s="8">
        <f t="shared" si="27"/>
        <v>0</v>
      </c>
      <c r="F58" s="8">
        <f t="shared" si="27"/>
        <v>0</v>
      </c>
      <c r="G58" s="8">
        <f t="shared" si="27"/>
        <v>0</v>
      </c>
      <c r="H58" s="8">
        <f t="shared" si="27"/>
        <v>0</v>
      </c>
      <c r="I58" s="8">
        <f t="shared" si="27"/>
        <v>0</v>
      </c>
      <c r="J58" s="8">
        <f t="shared" si="27"/>
        <v>0</v>
      </c>
      <c r="K58" s="8">
        <f t="shared" si="27"/>
        <v>3500</v>
      </c>
      <c r="L58" s="8">
        <f t="shared" si="27"/>
        <v>3500</v>
      </c>
      <c r="M58" s="8">
        <f t="shared" si="27"/>
        <v>3500</v>
      </c>
      <c r="N58" s="8">
        <f t="shared" si="27"/>
        <v>3500</v>
      </c>
      <c r="O58" s="8">
        <f t="shared" si="27"/>
        <v>3500</v>
      </c>
      <c r="P58" s="8">
        <f t="shared" si="27"/>
        <v>3500</v>
      </c>
      <c r="Q58" s="8">
        <f t="shared" si="27"/>
        <v>3500</v>
      </c>
      <c r="R58" s="8">
        <f t="shared" si="27"/>
        <v>3500</v>
      </c>
      <c r="S58" s="8">
        <f t="shared" si="27"/>
        <v>3500</v>
      </c>
      <c r="T58" s="8">
        <f t="shared" si="27"/>
        <v>3500</v>
      </c>
      <c r="U58" s="8">
        <f t="shared" si="27"/>
        <v>3500</v>
      </c>
      <c r="V58" s="8">
        <f t="shared" si="27"/>
        <v>3500</v>
      </c>
      <c r="W58" s="8">
        <f t="shared" si="27"/>
        <v>3500</v>
      </c>
      <c r="X58" s="8">
        <f t="shared" si="27"/>
        <v>3500</v>
      </c>
      <c r="Y58" s="8">
        <f t="shared" si="27"/>
        <v>3500</v>
      </c>
      <c r="Z58" s="8">
        <f t="shared" si="27"/>
        <v>3500</v>
      </c>
      <c r="AA58" s="8">
        <f t="shared" si="27"/>
        <v>3500</v>
      </c>
      <c r="AB58" s="8">
        <f t="shared" si="27"/>
        <v>3500</v>
      </c>
      <c r="AC58" s="8">
        <f t="shared" si="27"/>
        <v>3500</v>
      </c>
      <c r="AD58" s="8">
        <f t="shared" si="27"/>
        <v>3500</v>
      </c>
      <c r="AE58" s="8">
        <f t="shared" si="27"/>
        <v>3500</v>
      </c>
      <c r="AF58" s="8">
        <f t="shared" si="27"/>
        <v>3500</v>
      </c>
      <c r="AG58" s="8">
        <f t="shared" si="27"/>
        <v>3500</v>
      </c>
      <c r="AH58" s="8">
        <f t="shared" si="27"/>
        <v>3500</v>
      </c>
      <c r="AI58" s="8">
        <f t="shared" si="27"/>
        <v>3500</v>
      </c>
      <c r="AJ58" s="8">
        <f t="shared" si="27"/>
        <v>3500</v>
      </c>
      <c r="AK58" s="8">
        <f t="shared" si="27"/>
        <v>3500</v>
      </c>
      <c r="AL58" s="8">
        <f t="shared" si="27"/>
        <v>3500</v>
      </c>
      <c r="AM58" s="8">
        <f t="shared" si="27"/>
        <v>3500</v>
      </c>
      <c r="AN58" s="8">
        <f t="shared" si="27"/>
        <v>3500</v>
      </c>
      <c r="AO58" s="8">
        <f t="shared" si="27"/>
        <v>3500</v>
      </c>
      <c r="AP58" s="8">
        <f t="shared" si="27"/>
        <v>3500</v>
      </c>
      <c r="AQ58" s="8">
        <f t="shared" si="27"/>
        <v>3500</v>
      </c>
      <c r="AR58" s="8">
        <f t="shared" si="27"/>
        <v>3500</v>
      </c>
      <c r="AS58" s="8">
        <f t="shared" si="27"/>
        <v>3500</v>
      </c>
      <c r="AT58" s="8">
        <f t="shared" si="27"/>
        <v>3500</v>
      </c>
      <c r="AU58" s="8">
        <f t="shared" si="27"/>
        <v>3500</v>
      </c>
      <c r="AV58" s="8">
        <f t="shared" si="27"/>
        <v>3500</v>
      </c>
      <c r="AW58" s="8">
        <f t="shared" si="27"/>
        <v>3500</v>
      </c>
      <c r="AX58" s="8">
        <f t="shared" si="27"/>
        <v>3500</v>
      </c>
    </row>
    <row r="59" ht="15.75" customHeight="1">
      <c r="A59" s="8">
        <v>2000.0</v>
      </c>
      <c r="B59" s="2" t="s">
        <v>119</v>
      </c>
      <c r="C59" s="8">
        <f t="shared" ref="C59:AX59" si="28">C50*$A59</f>
        <v>0</v>
      </c>
      <c r="D59" s="8">
        <f t="shared" si="28"/>
        <v>0</v>
      </c>
      <c r="E59" s="8">
        <f t="shared" si="28"/>
        <v>0</v>
      </c>
      <c r="F59" s="8">
        <f t="shared" si="28"/>
        <v>0</v>
      </c>
      <c r="G59" s="8">
        <f t="shared" si="28"/>
        <v>0</v>
      </c>
      <c r="H59" s="8">
        <f t="shared" si="28"/>
        <v>0</v>
      </c>
      <c r="I59" s="8">
        <f t="shared" si="28"/>
        <v>0</v>
      </c>
      <c r="J59" s="8">
        <f t="shared" si="28"/>
        <v>0</v>
      </c>
      <c r="K59" s="8">
        <f t="shared" si="28"/>
        <v>0</v>
      </c>
      <c r="L59" s="8">
        <f t="shared" si="28"/>
        <v>0</v>
      </c>
      <c r="M59" s="8">
        <f t="shared" si="28"/>
        <v>0</v>
      </c>
      <c r="N59" s="8">
        <f t="shared" si="28"/>
        <v>0</v>
      </c>
      <c r="O59" s="8">
        <f t="shared" si="28"/>
        <v>0</v>
      </c>
      <c r="P59" s="8">
        <f t="shared" si="28"/>
        <v>0</v>
      </c>
      <c r="Q59" s="8">
        <f t="shared" si="28"/>
        <v>0</v>
      </c>
      <c r="R59" s="8">
        <f t="shared" si="28"/>
        <v>0</v>
      </c>
      <c r="S59" s="8">
        <f t="shared" si="28"/>
        <v>0</v>
      </c>
      <c r="T59" s="8">
        <f t="shared" si="28"/>
        <v>0</v>
      </c>
      <c r="U59" s="8">
        <f t="shared" si="28"/>
        <v>0</v>
      </c>
      <c r="V59" s="8">
        <f t="shared" si="28"/>
        <v>0</v>
      </c>
      <c r="W59" s="8">
        <f t="shared" si="28"/>
        <v>0</v>
      </c>
      <c r="X59" s="8">
        <f t="shared" si="28"/>
        <v>0</v>
      </c>
      <c r="Y59" s="8">
        <f t="shared" si="28"/>
        <v>0</v>
      </c>
      <c r="Z59" s="8">
        <f t="shared" si="28"/>
        <v>0</v>
      </c>
      <c r="AA59" s="8">
        <f t="shared" si="28"/>
        <v>0</v>
      </c>
      <c r="AB59" s="8">
        <f t="shared" si="28"/>
        <v>0</v>
      </c>
      <c r="AC59" s="8">
        <f t="shared" si="28"/>
        <v>0</v>
      </c>
      <c r="AD59" s="8">
        <f t="shared" si="28"/>
        <v>0</v>
      </c>
      <c r="AE59" s="8">
        <f t="shared" si="28"/>
        <v>0</v>
      </c>
      <c r="AF59" s="8">
        <f t="shared" si="28"/>
        <v>0</v>
      </c>
      <c r="AG59" s="8">
        <f t="shared" si="28"/>
        <v>2000</v>
      </c>
      <c r="AH59" s="8">
        <f t="shared" si="28"/>
        <v>2000</v>
      </c>
      <c r="AI59" s="8">
        <f t="shared" si="28"/>
        <v>2000</v>
      </c>
      <c r="AJ59" s="8">
        <f t="shared" si="28"/>
        <v>2000</v>
      </c>
      <c r="AK59" s="8">
        <f t="shared" si="28"/>
        <v>2000</v>
      </c>
      <c r="AL59" s="8">
        <f t="shared" si="28"/>
        <v>2000</v>
      </c>
      <c r="AM59" s="8">
        <f t="shared" si="28"/>
        <v>2000</v>
      </c>
      <c r="AN59" s="8">
        <f t="shared" si="28"/>
        <v>2000</v>
      </c>
      <c r="AO59" s="8">
        <f t="shared" si="28"/>
        <v>2000</v>
      </c>
      <c r="AP59" s="8">
        <f t="shared" si="28"/>
        <v>2000</v>
      </c>
      <c r="AQ59" s="8">
        <f t="shared" si="28"/>
        <v>2000</v>
      </c>
      <c r="AR59" s="8">
        <f t="shared" si="28"/>
        <v>2000</v>
      </c>
      <c r="AS59" s="8">
        <f t="shared" si="28"/>
        <v>2000</v>
      </c>
      <c r="AT59" s="8">
        <f t="shared" si="28"/>
        <v>2000</v>
      </c>
      <c r="AU59" s="8">
        <f t="shared" si="28"/>
        <v>2000</v>
      </c>
      <c r="AV59" s="8">
        <f t="shared" si="28"/>
        <v>2000</v>
      </c>
      <c r="AW59" s="8">
        <f t="shared" si="28"/>
        <v>2000</v>
      </c>
      <c r="AX59" s="8">
        <f t="shared" si="28"/>
        <v>2000</v>
      </c>
    </row>
    <row r="60" ht="15.75" customHeight="1">
      <c r="A60" s="8">
        <v>2200.0</v>
      </c>
      <c r="B60" s="2" t="s">
        <v>120</v>
      </c>
      <c r="C60" s="8">
        <f t="shared" ref="C60:AX60" si="29">C51*$A60</f>
        <v>0</v>
      </c>
      <c r="D60" s="8">
        <f t="shared" si="29"/>
        <v>0</v>
      </c>
      <c r="E60" s="8">
        <f t="shared" si="29"/>
        <v>0</v>
      </c>
      <c r="F60" s="8">
        <f t="shared" si="29"/>
        <v>0</v>
      </c>
      <c r="G60" s="8">
        <f t="shared" si="29"/>
        <v>0</v>
      </c>
      <c r="H60" s="8">
        <f t="shared" si="29"/>
        <v>0</v>
      </c>
      <c r="I60" s="8">
        <f t="shared" si="29"/>
        <v>0</v>
      </c>
      <c r="J60" s="8">
        <f t="shared" si="29"/>
        <v>0</v>
      </c>
      <c r="K60" s="8">
        <f t="shared" si="29"/>
        <v>0</v>
      </c>
      <c r="L60" s="8">
        <f t="shared" si="29"/>
        <v>0</v>
      </c>
      <c r="M60" s="8">
        <f t="shared" si="29"/>
        <v>0</v>
      </c>
      <c r="N60" s="8">
        <f t="shared" si="29"/>
        <v>0</v>
      </c>
      <c r="O60" s="8">
        <f t="shared" si="29"/>
        <v>2200</v>
      </c>
      <c r="P60" s="8">
        <f t="shared" si="29"/>
        <v>2200</v>
      </c>
      <c r="Q60" s="8">
        <f t="shared" si="29"/>
        <v>2200</v>
      </c>
      <c r="R60" s="8">
        <f t="shared" si="29"/>
        <v>2200</v>
      </c>
      <c r="S60" s="8">
        <f t="shared" si="29"/>
        <v>2200</v>
      </c>
      <c r="T60" s="8">
        <f t="shared" si="29"/>
        <v>2200</v>
      </c>
      <c r="U60" s="8">
        <f t="shared" si="29"/>
        <v>2200</v>
      </c>
      <c r="V60" s="8">
        <f t="shared" si="29"/>
        <v>2200</v>
      </c>
      <c r="W60" s="8">
        <f t="shared" si="29"/>
        <v>2200</v>
      </c>
      <c r="X60" s="8">
        <f t="shared" si="29"/>
        <v>2200</v>
      </c>
      <c r="Y60" s="8">
        <f t="shared" si="29"/>
        <v>2200</v>
      </c>
      <c r="Z60" s="8">
        <f t="shared" si="29"/>
        <v>2200</v>
      </c>
      <c r="AA60" s="8">
        <f t="shared" si="29"/>
        <v>2200</v>
      </c>
      <c r="AB60" s="8">
        <f t="shared" si="29"/>
        <v>2200</v>
      </c>
      <c r="AC60" s="8">
        <f t="shared" si="29"/>
        <v>2200</v>
      </c>
      <c r="AD60" s="8">
        <f t="shared" si="29"/>
        <v>2200</v>
      </c>
      <c r="AE60" s="8">
        <f t="shared" si="29"/>
        <v>2200</v>
      </c>
      <c r="AF60" s="8">
        <f t="shared" si="29"/>
        <v>2200</v>
      </c>
      <c r="AG60" s="8">
        <f t="shared" si="29"/>
        <v>2200</v>
      </c>
      <c r="AH60" s="8">
        <f t="shared" si="29"/>
        <v>2200</v>
      </c>
      <c r="AI60" s="8">
        <f t="shared" si="29"/>
        <v>2200</v>
      </c>
      <c r="AJ60" s="8">
        <f t="shared" si="29"/>
        <v>2200</v>
      </c>
      <c r="AK60" s="8">
        <f t="shared" si="29"/>
        <v>2200</v>
      </c>
      <c r="AL60" s="8">
        <f t="shared" si="29"/>
        <v>2200</v>
      </c>
      <c r="AM60" s="8">
        <f t="shared" si="29"/>
        <v>2200</v>
      </c>
      <c r="AN60" s="8">
        <f t="shared" si="29"/>
        <v>2200</v>
      </c>
      <c r="AO60" s="8">
        <f t="shared" si="29"/>
        <v>2200</v>
      </c>
      <c r="AP60" s="8">
        <f t="shared" si="29"/>
        <v>2200</v>
      </c>
      <c r="AQ60" s="8">
        <f t="shared" si="29"/>
        <v>2200</v>
      </c>
      <c r="AR60" s="8">
        <f t="shared" si="29"/>
        <v>2200</v>
      </c>
      <c r="AS60" s="8">
        <f t="shared" si="29"/>
        <v>2200</v>
      </c>
      <c r="AT60" s="8">
        <f t="shared" si="29"/>
        <v>2200</v>
      </c>
      <c r="AU60" s="8">
        <f t="shared" si="29"/>
        <v>2200</v>
      </c>
      <c r="AV60" s="8">
        <f t="shared" si="29"/>
        <v>2200</v>
      </c>
      <c r="AW60" s="8">
        <f t="shared" si="29"/>
        <v>2200</v>
      </c>
      <c r="AX60" s="8">
        <f t="shared" si="29"/>
        <v>2200</v>
      </c>
    </row>
    <row r="61" ht="15.75" customHeight="1">
      <c r="A61" s="8">
        <v>3000.0</v>
      </c>
      <c r="B61" s="2" t="s">
        <v>121</v>
      </c>
      <c r="C61" s="8">
        <f t="shared" ref="C61:AX61" si="30">C52*$A61</f>
        <v>0</v>
      </c>
      <c r="D61" s="8">
        <f t="shared" si="30"/>
        <v>0</v>
      </c>
      <c r="E61" s="8">
        <f t="shared" si="30"/>
        <v>0</v>
      </c>
      <c r="F61" s="8">
        <f t="shared" si="30"/>
        <v>0</v>
      </c>
      <c r="G61" s="8">
        <f t="shared" si="30"/>
        <v>0</v>
      </c>
      <c r="H61" s="8">
        <f t="shared" si="30"/>
        <v>0</v>
      </c>
      <c r="I61" s="8">
        <f t="shared" si="30"/>
        <v>0</v>
      </c>
      <c r="J61" s="8">
        <f t="shared" si="30"/>
        <v>0</v>
      </c>
      <c r="K61" s="8">
        <f t="shared" si="30"/>
        <v>0</v>
      </c>
      <c r="L61" s="8">
        <f t="shared" si="30"/>
        <v>0</v>
      </c>
      <c r="M61" s="8">
        <f t="shared" si="30"/>
        <v>0</v>
      </c>
      <c r="N61" s="8">
        <f t="shared" si="30"/>
        <v>0</v>
      </c>
      <c r="O61" s="8">
        <f t="shared" si="30"/>
        <v>0</v>
      </c>
      <c r="P61" s="8">
        <f t="shared" si="30"/>
        <v>0</v>
      </c>
      <c r="Q61" s="8">
        <f t="shared" si="30"/>
        <v>0</v>
      </c>
      <c r="R61" s="8">
        <f t="shared" si="30"/>
        <v>0</v>
      </c>
      <c r="S61" s="8">
        <f t="shared" si="30"/>
        <v>0</v>
      </c>
      <c r="T61" s="8">
        <f t="shared" si="30"/>
        <v>0</v>
      </c>
      <c r="U61" s="8">
        <f t="shared" si="30"/>
        <v>0</v>
      </c>
      <c r="V61" s="8">
        <f t="shared" si="30"/>
        <v>0</v>
      </c>
      <c r="W61" s="8">
        <f t="shared" si="30"/>
        <v>0</v>
      </c>
      <c r="X61" s="8">
        <f t="shared" si="30"/>
        <v>0</v>
      </c>
      <c r="Y61" s="8">
        <f t="shared" si="30"/>
        <v>0</v>
      </c>
      <c r="Z61" s="8">
        <f t="shared" si="30"/>
        <v>0</v>
      </c>
      <c r="AA61" s="8">
        <f t="shared" si="30"/>
        <v>3000</v>
      </c>
      <c r="AB61" s="8">
        <f t="shared" si="30"/>
        <v>3000</v>
      </c>
      <c r="AC61" s="8">
        <f t="shared" si="30"/>
        <v>3000</v>
      </c>
      <c r="AD61" s="8">
        <f t="shared" si="30"/>
        <v>3000</v>
      </c>
      <c r="AE61" s="8">
        <f t="shared" si="30"/>
        <v>3000</v>
      </c>
      <c r="AF61" s="8">
        <f t="shared" si="30"/>
        <v>3000</v>
      </c>
      <c r="AG61" s="8">
        <f t="shared" si="30"/>
        <v>3000</v>
      </c>
      <c r="AH61" s="8">
        <f t="shared" si="30"/>
        <v>3000</v>
      </c>
      <c r="AI61" s="8">
        <f t="shared" si="30"/>
        <v>3000</v>
      </c>
      <c r="AJ61" s="8">
        <f t="shared" si="30"/>
        <v>3000</v>
      </c>
      <c r="AK61" s="8">
        <f t="shared" si="30"/>
        <v>3000</v>
      </c>
      <c r="AL61" s="8">
        <f t="shared" si="30"/>
        <v>3000</v>
      </c>
      <c r="AM61" s="8">
        <f t="shared" si="30"/>
        <v>3000</v>
      </c>
      <c r="AN61" s="8">
        <f t="shared" si="30"/>
        <v>3000</v>
      </c>
      <c r="AO61" s="8">
        <f t="shared" si="30"/>
        <v>3000</v>
      </c>
      <c r="AP61" s="8">
        <f t="shared" si="30"/>
        <v>3000</v>
      </c>
      <c r="AQ61" s="8">
        <f t="shared" si="30"/>
        <v>3000</v>
      </c>
      <c r="AR61" s="8">
        <f t="shared" si="30"/>
        <v>3000</v>
      </c>
      <c r="AS61" s="8">
        <f t="shared" si="30"/>
        <v>3000</v>
      </c>
      <c r="AT61" s="8">
        <f t="shared" si="30"/>
        <v>3000</v>
      </c>
      <c r="AU61" s="8">
        <f t="shared" si="30"/>
        <v>3000</v>
      </c>
      <c r="AV61" s="8">
        <f t="shared" si="30"/>
        <v>3000</v>
      </c>
      <c r="AW61" s="8">
        <f t="shared" si="30"/>
        <v>3000</v>
      </c>
      <c r="AX61" s="8">
        <f t="shared" si="30"/>
        <v>3000</v>
      </c>
    </row>
    <row r="62" ht="15.75" customHeight="1">
      <c r="A62" s="8">
        <v>750.0</v>
      </c>
      <c r="B62" s="2" t="s">
        <v>122</v>
      </c>
      <c r="C62" s="8">
        <f t="shared" ref="C62:AX62" si="31">C53*$A62</f>
        <v>0</v>
      </c>
      <c r="D62" s="8">
        <f t="shared" si="31"/>
        <v>0</v>
      </c>
      <c r="E62" s="8">
        <f t="shared" si="31"/>
        <v>0</v>
      </c>
      <c r="F62" s="8">
        <f t="shared" si="31"/>
        <v>0</v>
      </c>
      <c r="G62" s="8">
        <f t="shared" si="31"/>
        <v>0</v>
      </c>
      <c r="H62" s="8">
        <f t="shared" si="31"/>
        <v>0</v>
      </c>
      <c r="I62" s="8">
        <f t="shared" si="31"/>
        <v>0</v>
      </c>
      <c r="J62" s="8">
        <f t="shared" si="31"/>
        <v>0</v>
      </c>
      <c r="K62" s="8">
        <f t="shared" si="31"/>
        <v>0</v>
      </c>
      <c r="L62" s="8">
        <f t="shared" si="31"/>
        <v>750</v>
      </c>
      <c r="M62" s="8">
        <f t="shared" si="31"/>
        <v>750</v>
      </c>
      <c r="N62" s="8">
        <f t="shared" si="31"/>
        <v>750</v>
      </c>
      <c r="O62" s="8">
        <f t="shared" si="31"/>
        <v>750</v>
      </c>
      <c r="P62" s="8">
        <f t="shared" si="31"/>
        <v>750</v>
      </c>
      <c r="Q62" s="8">
        <f t="shared" si="31"/>
        <v>750</v>
      </c>
      <c r="R62" s="8">
        <f t="shared" si="31"/>
        <v>750</v>
      </c>
      <c r="S62" s="8">
        <f t="shared" si="31"/>
        <v>750</v>
      </c>
      <c r="T62" s="8">
        <f t="shared" si="31"/>
        <v>750</v>
      </c>
      <c r="U62" s="8">
        <f t="shared" si="31"/>
        <v>750</v>
      </c>
      <c r="V62" s="8">
        <f t="shared" si="31"/>
        <v>1500</v>
      </c>
      <c r="W62" s="8">
        <f t="shared" si="31"/>
        <v>1500</v>
      </c>
      <c r="X62" s="8">
        <f t="shared" si="31"/>
        <v>1500</v>
      </c>
      <c r="Y62" s="8">
        <f t="shared" si="31"/>
        <v>1500</v>
      </c>
      <c r="Z62" s="8">
        <f t="shared" si="31"/>
        <v>1500</v>
      </c>
      <c r="AA62" s="8">
        <f t="shared" si="31"/>
        <v>1500</v>
      </c>
      <c r="AB62" s="8">
        <f t="shared" si="31"/>
        <v>1500</v>
      </c>
      <c r="AC62" s="8">
        <f t="shared" si="31"/>
        <v>1500</v>
      </c>
      <c r="AD62" s="8">
        <f t="shared" si="31"/>
        <v>1500</v>
      </c>
      <c r="AE62" s="8">
        <f t="shared" si="31"/>
        <v>1500</v>
      </c>
      <c r="AF62" s="8">
        <f t="shared" si="31"/>
        <v>1500</v>
      </c>
      <c r="AG62" s="8">
        <f t="shared" si="31"/>
        <v>1500</v>
      </c>
      <c r="AH62" s="8">
        <f t="shared" si="31"/>
        <v>1500</v>
      </c>
      <c r="AI62" s="8">
        <f t="shared" si="31"/>
        <v>1500</v>
      </c>
      <c r="AJ62" s="8">
        <f t="shared" si="31"/>
        <v>1500</v>
      </c>
      <c r="AK62" s="8">
        <f t="shared" si="31"/>
        <v>1500</v>
      </c>
      <c r="AL62" s="8">
        <f t="shared" si="31"/>
        <v>1500</v>
      </c>
      <c r="AM62" s="8">
        <f t="shared" si="31"/>
        <v>1500</v>
      </c>
      <c r="AN62" s="8">
        <f t="shared" si="31"/>
        <v>1500</v>
      </c>
      <c r="AO62" s="8">
        <f t="shared" si="31"/>
        <v>1500</v>
      </c>
      <c r="AP62" s="8">
        <f t="shared" si="31"/>
        <v>1500</v>
      </c>
      <c r="AQ62" s="8">
        <f t="shared" si="31"/>
        <v>1500</v>
      </c>
      <c r="AR62" s="8">
        <f t="shared" si="31"/>
        <v>1500</v>
      </c>
      <c r="AS62" s="8">
        <f t="shared" si="31"/>
        <v>1500</v>
      </c>
      <c r="AT62" s="8">
        <f t="shared" si="31"/>
        <v>1500</v>
      </c>
      <c r="AU62" s="8">
        <f t="shared" si="31"/>
        <v>1500</v>
      </c>
      <c r="AV62" s="8">
        <f t="shared" si="31"/>
        <v>1500</v>
      </c>
      <c r="AW62" s="8">
        <f t="shared" si="31"/>
        <v>1500</v>
      </c>
      <c r="AX62" s="8">
        <f t="shared" si="31"/>
        <v>1500</v>
      </c>
    </row>
    <row r="63" ht="15.75" customHeight="1">
      <c r="B63" s="2" t="s">
        <v>123</v>
      </c>
      <c r="C63" s="8">
        <f t="shared" ref="C63:AX63" si="32">SUM(C58:C62)</f>
        <v>0</v>
      </c>
      <c r="D63" s="8">
        <f t="shared" si="32"/>
        <v>0</v>
      </c>
      <c r="E63" s="8">
        <f t="shared" si="32"/>
        <v>0</v>
      </c>
      <c r="F63" s="8">
        <f t="shared" si="32"/>
        <v>0</v>
      </c>
      <c r="G63" s="8">
        <f t="shared" si="32"/>
        <v>0</v>
      </c>
      <c r="H63" s="8">
        <f t="shared" si="32"/>
        <v>0</v>
      </c>
      <c r="I63" s="8">
        <f t="shared" si="32"/>
        <v>0</v>
      </c>
      <c r="J63" s="8">
        <f t="shared" si="32"/>
        <v>0</v>
      </c>
      <c r="K63" s="8">
        <f t="shared" si="32"/>
        <v>3500</v>
      </c>
      <c r="L63" s="8">
        <f t="shared" si="32"/>
        <v>4250</v>
      </c>
      <c r="M63" s="8">
        <f t="shared" si="32"/>
        <v>4250</v>
      </c>
      <c r="N63" s="8">
        <f t="shared" si="32"/>
        <v>4250</v>
      </c>
      <c r="O63" s="8">
        <f t="shared" si="32"/>
        <v>6450</v>
      </c>
      <c r="P63" s="8">
        <f t="shared" si="32"/>
        <v>6450</v>
      </c>
      <c r="Q63" s="8">
        <f t="shared" si="32"/>
        <v>6450</v>
      </c>
      <c r="R63" s="8">
        <f t="shared" si="32"/>
        <v>6450</v>
      </c>
      <c r="S63" s="8">
        <f t="shared" si="32"/>
        <v>6450</v>
      </c>
      <c r="T63" s="8">
        <f t="shared" si="32"/>
        <v>6450</v>
      </c>
      <c r="U63" s="8">
        <f t="shared" si="32"/>
        <v>6450</v>
      </c>
      <c r="V63" s="8">
        <f t="shared" si="32"/>
        <v>7200</v>
      </c>
      <c r="W63" s="8">
        <f t="shared" si="32"/>
        <v>7200</v>
      </c>
      <c r="X63" s="8">
        <f t="shared" si="32"/>
        <v>7200</v>
      </c>
      <c r="Y63" s="8">
        <f t="shared" si="32"/>
        <v>7200</v>
      </c>
      <c r="Z63" s="8">
        <f t="shared" si="32"/>
        <v>7200</v>
      </c>
      <c r="AA63" s="8">
        <f t="shared" si="32"/>
        <v>10200</v>
      </c>
      <c r="AB63" s="8">
        <f t="shared" si="32"/>
        <v>10200</v>
      </c>
      <c r="AC63" s="8">
        <f t="shared" si="32"/>
        <v>10200</v>
      </c>
      <c r="AD63" s="8">
        <f t="shared" si="32"/>
        <v>10200</v>
      </c>
      <c r="AE63" s="8">
        <f t="shared" si="32"/>
        <v>10200</v>
      </c>
      <c r="AF63" s="8">
        <f t="shared" si="32"/>
        <v>10200</v>
      </c>
      <c r="AG63" s="8">
        <f t="shared" si="32"/>
        <v>12200</v>
      </c>
      <c r="AH63" s="8">
        <f t="shared" si="32"/>
        <v>12200</v>
      </c>
      <c r="AI63" s="8">
        <f t="shared" si="32"/>
        <v>12200</v>
      </c>
      <c r="AJ63" s="8">
        <f t="shared" si="32"/>
        <v>12200</v>
      </c>
      <c r="AK63" s="8">
        <f t="shared" si="32"/>
        <v>12200</v>
      </c>
      <c r="AL63" s="8">
        <f t="shared" si="32"/>
        <v>12200</v>
      </c>
      <c r="AM63" s="8">
        <f t="shared" si="32"/>
        <v>12200</v>
      </c>
      <c r="AN63" s="8">
        <f t="shared" si="32"/>
        <v>12200</v>
      </c>
      <c r="AO63" s="8">
        <f t="shared" si="32"/>
        <v>12200</v>
      </c>
      <c r="AP63" s="8">
        <f t="shared" si="32"/>
        <v>12200</v>
      </c>
      <c r="AQ63" s="8">
        <f t="shared" si="32"/>
        <v>12200</v>
      </c>
      <c r="AR63" s="8">
        <f t="shared" si="32"/>
        <v>12200</v>
      </c>
      <c r="AS63" s="8">
        <f t="shared" si="32"/>
        <v>12200</v>
      </c>
      <c r="AT63" s="8">
        <f t="shared" si="32"/>
        <v>12200</v>
      </c>
      <c r="AU63" s="8">
        <f t="shared" si="32"/>
        <v>12200</v>
      </c>
      <c r="AV63" s="8">
        <f t="shared" si="32"/>
        <v>12200</v>
      </c>
      <c r="AW63" s="8">
        <f t="shared" si="32"/>
        <v>12200</v>
      </c>
      <c r="AX63" s="8">
        <f t="shared" si="32"/>
        <v>12200</v>
      </c>
    </row>
    <row r="64" ht="15.75" customHeight="1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ht="15.75" customHeight="1">
      <c r="A65" s="2" t="s">
        <v>58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ht="15.75" customHeight="1">
      <c r="B66" s="2" t="s">
        <v>124</v>
      </c>
      <c r="C66" s="8"/>
      <c r="D66" s="8"/>
      <c r="E66" s="8"/>
      <c r="F66" s="8"/>
      <c r="G66" s="8"/>
      <c r="H66" s="8"/>
      <c r="I66" s="8">
        <v>600.0</v>
      </c>
      <c r="J66" s="8">
        <v>600.0</v>
      </c>
      <c r="K66" s="8">
        <v>600.0</v>
      </c>
      <c r="L66" s="8">
        <v>600.0</v>
      </c>
      <c r="M66" s="8">
        <v>600.0</v>
      </c>
      <c r="N66" s="8">
        <v>600.0</v>
      </c>
      <c r="O66" s="8">
        <v>631.818181818182</v>
      </c>
      <c r="P66" s="8">
        <v>644.405594405595</v>
      </c>
      <c r="Q66" s="8">
        <v>656.993006993007</v>
      </c>
      <c r="R66" s="8">
        <v>669.58041958042</v>
      </c>
      <c r="S66" s="8">
        <v>682.167832167832</v>
      </c>
      <c r="T66" s="8">
        <v>694.755244755245</v>
      </c>
      <c r="U66" s="8">
        <v>707.342657342658</v>
      </c>
      <c r="V66" s="8">
        <v>719.93006993007</v>
      </c>
      <c r="W66" s="8">
        <v>732.517482517483</v>
      </c>
      <c r="X66" s="8">
        <v>745.104895104895</v>
      </c>
      <c r="Y66" s="8">
        <v>757.692307692308</v>
      </c>
      <c r="Z66" s="8">
        <v>770.279720279721</v>
      </c>
      <c r="AA66" s="8">
        <v>782.867132867138</v>
      </c>
      <c r="AB66" s="8">
        <v>795.454545454552</v>
      </c>
      <c r="AC66" s="8">
        <v>808.041958041965</v>
      </c>
      <c r="AD66" s="8">
        <v>820.629370629378</v>
      </c>
      <c r="AE66" s="8">
        <v>833.216783216791</v>
      </c>
      <c r="AF66" s="8">
        <v>845.804195804204</v>
      </c>
      <c r="AG66" s="8">
        <v>858.391608391617</v>
      </c>
      <c r="AH66" s="8">
        <v>870.97902097903</v>
      </c>
      <c r="AI66" s="8">
        <v>883.566433566443</v>
      </c>
      <c r="AJ66" s="8">
        <v>896.153846153856</v>
      </c>
      <c r="AK66" s="8">
        <v>908.741258741269</v>
      </c>
      <c r="AL66" s="8">
        <v>921.328671328682</v>
      </c>
      <c r="AM66" s="8">
        <v>921.328671328682</v>
      </c>
      <c r="AN66" s="8">
        <v>921.328671328682</v>
      </c>
      <c r="AO66" s="8">
        <v>921.328671328682</v>
      </c>
      <c r="AP66" s="8">
        <v>921.328671328682</v>
      </c>
      <c r="AQ66" s="8">
        <v>921.328671328682</v>
      </c>
      <c r="AR66" s="8">
        <v>921.328671328682</v>
      </c>
      <c r="AS66" s="8">
        <v>921.328671328682</v>
      </c>
      <c r="AT66" s="8">
        <v>921.328671328682</v>
      </c>
      <c r="AU66" s="8">
        <v>921.328671328682</v>
      </c>
      <c r="AV66" s="8">
        <v>921.328671328682</v>
      </c>
      <c r="AW66" s="8">
        <v>921.328671328682</v>
      </c>
      <c r="AX66" s="8">
        <v>921.328671328682</v>
      </c>
    </row>
    <row r="67" ht="15.75" customHeight="1">
      <c r="B67" s="2" t="s">
        <v>125</v>
      </c>
      <c r="C67" s="8">
        <v>0.0</v>
      </c>
      <c r="D67" s="8">
        <v>0.0</v>
      </c>
      <c r="E67" s="8">
        <v>0.0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  <c r="L67" s="8">
        <v>0.0</v>
      </c>
      <c r="M67" s="8">
        <v>0.0</v>
      </c>
      <c r="N67" s="8">
        <v>0.0</v>
      </c>
      <c r="O67" s="8">
        <v>0.0</v>
      </c>
      <c r="P67" s="8">
        <v>0.0</v>
      </c>
      <c r="Q67" s="8">
        <v>0.0</v>
      </c>
      <c r="R67" s="8">
        <v>0.0</v>
      </c>
      <c r="S67" s="8">
        <v>0.0</v>
      </c>
      <c r="T67" s="8">
        <v>0.0</v>
      </c>
      <c r="U67" s="8">
        <v>0.0</v>
      </c>
      <c r="V67" s="8">
        <v>0.0</v>
      </c>
      <c r="W67" s="8">
        <v>0.0</v>
      </c>
      <c r="X67" s="8">
        <v>0.0</v>
      </c>
      <c r="Y67" s="8">
        <v>0.0</v>
      </c>
      <c r="Z67" s="8">
        <v>0.0</v>
      </c>
      <c r="AA67" s="8">
        <v>0.0</v>
      </c>
      <c r="AB67" s="8">
        <v>0.0</v>
      </c>
      <c r="AC67" s="8">
        <v>0.0</v>
      </c>
      <c r="AD67" s="8">
        <v>0.0</v>
      </c>
      <c r="AE67" s="8">
        <v>0.0</v>
      </c>
      <c r="AF67" s="8">
        <v>0.0</v>
      </c>
      <c r="AG67" s="8">
        <v>0.0</v>
      </c>
      <c r="AH67" s="8">
        <v>0.0</v>
      </c>
      <c r="AI67" s="8">
        <v>0.0</v>
      </c>
      <c r="AJ67" s="8">
        <v>0.0</v>
      </c>
      <c r="AK67" s="8">
        <v>0.0</v>
      </c>
      <c r="AL67" s="8">
        <v>0.0</v>
      </c>
      <c r="AM67" s="8">
        <v>0.0</v>
      </c>
      <c r="AN67" s="8">
        <v>0.0</v>
      </c>
      <c r="AO67" s="8">
        <v>0.0</v>
      </c>
      <c r="AP67" s="8">
        <v>0.0</v>
      </c>
      <c r="AQ67" s="8">
        <v>0.0</v>
      </c>
      <c r="AR67" s="8">
        <v>0.0</v>
      </c>
      <c r="AS67" s="8">
        <v>0.0</v>
      </c>
      <c r="AT67" s="8">
        <v>0.0</v>
      </c>
      <c r="AU67" s="8">
        <v>0.0</v>
      </c>
      <c r="AV67" s="8">
        <v>0.0</v>
      </c>
      <c r="AW67" s="8">
        <v>0.0</v>
      </c>
      <c r="AX67" s="8">
        <v>0.0</v>
      </c>
    </row>
    <row r="68" ht="15.75" customHeight="1">
      <c r="A68" s="2" t="s">
        <v>126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ht="15.75" customHeight="1">
      <c r="A69" s="15"/>
      <c r="B69" s="15" t="s">
        <v>127</v>
      </c>
      <c r="C69" s="15">
        <v>0.035</v>
      </c>
      <c r="D69" s="15">
        <v>0.035</v>
      </c>
      <c r="E69" s="15">
        <v>0.035</v>
      </c>
      <c r="F69" s="15">
        <v>0.035</v>
      </c>
      <c r="G69" s="15">
        <v>0.035</v>
      </c>
      <c r="H69" s="15">
        <v>0.035</v>
      </c>
      <c r="I69" s="15">
        <v>0.035</v>
      </c>
      <c r="J69" s="15">
        <v>0.035</v>
      </c>
      <c r="K69" s="15">
        <v>0.035</v>
      </c>
      <c r="L69" s="15">
        <v>0.035</v>
      </c>
      <c r="M69" s="15">
        <v>0.035</v>
      </c>
      <c r="N69" s="15">
        <v>0.035</v>
      </c>
      <c r="O69" s="15">
        <v>0.035</v>
      </c>
      <c r="P69" s="15">
        <v>0.035</v>
      </c>
      <c r="Q69" s="15">
        <v>0.035</v>
      </c>
      <c r="R69" s="15">
        <v>0.035</v>
      </c>
      <c r="S69" s="15">
        <v>0.035</v>
      </c>
      <c r="T69" s="15">
        <v>0.035</v>
      </c>
      <c r="U69" s="15">
        <v>0.035</v>
      </c>
      <c r="V69" s="15">
        <v>0.035</v>
      </c>
      <c r="W69" s="15">
        <v>0.035</v>
      </c>
      <c r="X69" s="15">
        <v>0.035</v>
      </c>
      <c r="Y69" s="15">
        <v>0.035</v>
      </c>
      <c r="Z69" s="15">
        <v>0.035</v>
      </c>
      <c r="AA69" s="15">
        <v>0.035</v>
      </c>
      <c r="AB69" s="15">
        <v>0.035</v>
      </c>
      <c r="AC69" s="15">
        <v>0.035</v>
      </c>
      <c r="AD69" s="15">
        <v>0.035</v>
      </c>
      <c r="AE69" s="15">
        <v>0.035</v>
      </c>
      <c r="AF69" s="15">
        <v>0.035</v>
      </c>
      <c r="AG69" s="15">
        <v>0.035</v>
      </c>
      <c r="AH69" s="15">
        <v>0.035</v>
      </c>
      <c r="AI69" s="15">
        <v>0.035</v>
      </c>
      <c r="AJ69" s="15">
        <v>0.035</v>
      </c>
      <c r="AK69" s="15">
        <v>0.035</v>
      </c>
      <c r="AL69" s="15">
        <v>0.035</v>
      </c>
      <c r="AM69" s="15">
        <v>0.035</v>
      </c>
      <c r="AN69" s="15">
        <v>0.035</v>
      </c>
      <c r="AO69" s="15">
        <v>0.035</v>
      </c>
      <c r="AP69" s="15">
        <v>0.035</v>
      </c>
      <c r="AQ69" s="15">
        <v>0.035</v>
      </c>
      <c r="AR69" s="15">
        <v>0.035</v>
      </c>
      <c r="AS69" s="15">
        <v>0.035</v>
      </c>
      <c r="AT69" s="15">
        <v>0.035</v>
      </c>
      <c r="AU69" s="15">
        <v>0.035</v>
      </c>
      <c r="AV69" s="15">
        <v>0.035</v>
      </c>
      <c r="AW69" s="15">
        <v>0.035</v>
      </c>
      <c r="AX69" s="15">
        <v>0.035</v>
      </c>
      <c r="AY69" s="15"/>
    </row>
    <row r="70" ht="15.75" customHeight="1">
      <c r="A70" s="20"/>
      <c r="B70" s="20" t="s">
        <v>128</v>
      </c>
      <c r="C70" s="8">
        <f t="shared" ref="C70:AX70" si="33">C76*C69</f>
        <v>0</v>
      </c>
      <c r="D70" s="8">
        <f t="shared" si="33"/>
        <v>0</v>
      </c>
      <c r="E70" s="8">
        <f t="shared" si="33"/>
        <v>0</v>
      </c>
      <c r="F70" s="8">
        <f t="shared" si="33"/>
        <v>0</v>
      </c>
      <c r="G70" s="8">
        <f t="shared" si="33"/>
        <v>0</v>
      </c>
      <c r="H70" s="8">
        <f t="shared" si="33"/>
        <v>0</v>
      </c>
      <c r="I70" s="8">
        <f t="shared" si="33"/>
        <v>0</v>
      </c>
      <c r="J70" s="8">
        <f t="shared" si="33"/>
        <v>0</v>
      </c>
      <c r="K70" s="8">
        <f t="shared" si="33"/>
        <v>0</v>
      </c>
      <c r="L70" s="8">
        <f t="shared" si="33"/>
        <v>0</v>
      </c>
      <c r="M70" s="8">
        <f t="shared" si="33"/>
        <v>0</v>
      </c>
      <c r="N70" s="8">
        <f t="shared" si="33"/>
        <v>0</v>
      </c>
      <c r="O70" s="8">
        <f t="shared" si="33"/>
        <v>0</v>
      </c>
      <c r="P70" s="8">
        <f t="shared" si="33"/>
        <v>0</v>
      </c>
      <c r="Q70" s="8">
        <f t="shared" si="33"/>
        <v>0</v>
      </c>
      <c r="R70" s="8">
        <f t="shared" si="33"/>
        <v>0</v>
      </c>
      <c r="S70" s="8">
        <f t="shared" si="33"/>
        <v>0</v>
      </c>
      <c r="T70" s="8">
        <f t="shared" si="33"/>
        <v>0</v>
      </c>
      <c r="U70" s="8">
        <f t="shared" si="33"/>
        <v>344.53125</v>
      </c>
      <c r="V70" s="8">
        <f t="shared" si="33"/>
        <v>344.53125</v>
      </c>
      <c r="W70" s="8">
        <f t="shared" si="33"/>
        <v>344.53125</v>
      </c>
      <c r="X70" s="8">
        <f t="shared" si="33"/>
        <v>544.4537109</v>
      </c>
      <c r="Y70" s="8">
        <f t="shared" si="33"/>
        <v>610.5780649</v>
      </c>
      <c r="Z70" s="8">
        <f t="shared" si="33"/>
        <v>632.448695</v>
      </c>
      <c r="AA70" s="8">
        <f t="shared" si="33"/>
        <v>746.2961402</v>
      </c>
      <c r="AB70" s="8">
        <f t="shared" si="33"/>
        <v>1035.227023</v>
      </c>
      <c r="AC70" s="8">
        <f t="shared" si="33"/>
        <v>1146.718228</v>
      </c>
      <c r="AD70" s="8">
        <f t="shared" si="33"/>
        <v>1869.591265</v>
      </c>
      <c r="AE70" s="8">
        <f t="shared" si="33"/>
        <v>2307.923403</v>
      </c>
      <c r="AF70" s="8">
        <f t="shared" si="33"/>
        <v>2573.717054</v>
      </c>
      <c r="AG70" s="8">
        <f t="shared" si="33"/>
        <v>2983.513831</v>
      </c>
      <c r="AH70" s="8">
        <f t="shared" si="33"/>
        <v>4230.972719</v>
      </c>
      <c r="AI70" s="8">
        <f t="shared" si="33"/>
        <v>5303.72499</v>
      </c>
      <c r="AJ70" s="8">
        <f t="shared" si="33"/>
        <v>6226.238305</v>
      </c>
      <c r="AK70" s="8">
        <f t="shared" si="33"/>
        <v>7019.55363</v>
      </c>
      <c r="AL70" s="8">
        <f t="shared" si="33"/>
        <v>7701.765144</v>
      </c>
      <c r="AM70" s="8">
        <f t="shared" si="33"/>
        <v>7969.647054</v>
      </c>
      <c r="AN70" s="8">
        <f t="shared" si="33"/>
        <v>8191.151908</v>
      </c>
      <c r="AO70" s="8">
        <f t="shared" si="33"/>
        <v>8374.308734</v>
      </c>
      <c r="AP70" s="8">
        <f t="shared" si="33"/>
        <v>8184.726273</v>
      </c>
      <c r="AQ70" s="8">
        <f t="shared" si="33"/>
        <v>8034.235715</v>
      </c>
      <c r="AR70" s="8">
        <f t="shared" si="33"/>
        <v>7914.776311</v>
      </c>
      <c r="AS70" s="8">
        <f t="shared" si="33"/>
        <v>7754.78319</v>
      </c>
      <c r="AT70" s="8">
        <f t="shared" si="33"/>
        <v>6179.419006</v>
      </c>
      <c r="AU70" s="8">
        <f t="shared" si="33"/>
        <v>4939.31595</v>
      </c>
      <c r="AV70" s="8">
        <f t="shared" si="33"/>
        <v>3929.821851</v>
      </c>
      <c r="AW70" s="8">
        <f t="shared" si="33"/>
        <v>3141.841042</v>
      </c>
      <c r="AX70" s="8">
        <f t="shared" si="33"/>
        <v>2526.766862</v>
      </c>
      <c r="AY70" s="20"/>
    </row>
    <row r="71" ht="15.75" customHeight="1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ht="15.75" customHeight="1">
      <c r="A72" s="2" t="s">
        <v>129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ht="15.75" customHeight="1">
      <c r="B73" s="2" t="s">
        <v>130</v>
      </c>
      <c r="C73" s="14">
        <v>0.15</v>
      </c>
      <c r="D73" s="14">
        <v>0.15</v>
      </c>
      <c r="E73" s="14">
        <v>0.15</v>
      </c>
      <c r="F73" s="14">
        <v>0.15</v>
      </c>
      <c r="G73" s="14">
        <v>0.15</v>
      </c>
      <c r="H73" s="14">
        <v>0.15</v>
      </c>
      <c r="I73" s="14">
        <v>0.15</v>
      </c>
      <c r="J73" s="14">
        <v>0.15</v>
      </c>
      <c r="K73" s="14">
        <v>0.15</v>
      </c>
      <c r="L73" s="14">
        <v>0.15</v>
      </c>
      <c r="M73" s="14">
        <v>0.15</v>
      </c>
      <c r="N73" s="14">
        <v>0.15</v>
      </c>
      <c r="O73" s="14">
        <v>0.15</v>
      </c>
      <c r="P73" s="14">
        <v>0.15</v>
      </c>
      <c r="Q73" s="14">
        <v>0.15</v>
      </c>
      <c r="R73" s="14">
        <v>0.15</v>
      </c>
      <c r="S73" s="14">
        <v>0.15</v>
      </c>
      <c r="T73" s="14">
        <v>0.15</v>
      </c>
      <c r="U73" s="14">
        <v>0.15</v>
      </c>
      <c r="V73" s="14">
        <v>0.15</v>
      </c>
      <c r="W73" s="14">
        <v>0.15</v>
      </c>
      <c r="X73" s="14">
        <v>0.15</v>
      </c>
      <c r="Y73" s="14">
        <v>0.15</v>
      </c>
      <c r="Z73" s="14">
        <v>0.15</v>
      </c>
      <c r="AA73" s="14">
        <v>0.15</v>
      </c>
      <c r="AB73" s="14">
        <v>0.15</v>
      </c>
      <c r="AC73" s="14">
        <v>0.15</v>
      </c>
      <c r="AD73" s="14">
        <v>0.15</v>
      </c>
      <c r="AE73" s="14">
        <v>0.15</v>
      </c>
      <c r="AF73" s="14">
        <v>0.15</v>
      </c>
      <c r="AG73" s="14">
        <v>0.15</v>
      </c>
      <c r="AH73" s="14">
        <v>0.15</v>
      </c>
      <c r="AI73" s="14">
        <v>0.15</v>
      </c>
      <c r="AJ73" s="14">
        <v>0.15</v>
      </c>
      <c r="AK73" s="14">
        <v>0.15</v>
      </c>
      <c r="AL73" s="14">
        <v>0.15</v>
      </c>
      <c r="AM73" s="14">
        <v>0.15</v>
      </c>
      <c r="AN73" s="14">
        <v>0.15</v>
      </c>
      <c r="AO73" s="14">
        <v>0.15</v>
      </c>
      <c r="AP73" s="14">
        <v>0.15</v>
      </c>
      <c r="AQ73" s="14">
        <v>0.15</v>
      </c>
      <c r="AR73" s="14">
        <v>0.15</v>
      </c>
      <c r="AS73" s="14">
        <v>0.15</v>
      </c>
      <c r="AT73" s="14">
        <v>0.15</v>
      </c>
      <c r="AU73" s="14">
        <v>0.15</v>
      </c>
      <c r="AV73" s="14">
        <v>0.15</v>
      </c>
      <c r="AW73" s="14">
        <v>0.15</v>
      </c>
      <c r="AX73" s="14">
        <v>0.15</v>
      </c>
    </row>
    <row r="74" ht="15.75" customHeight="1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ht="15.75" customHeight="1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ht="15.75" customHeight="1">
      <c r="B76" s="2" t="s">
        <v>131</v>
      </c>
      <c r="C76" s="8" t="str">
        <f t="shared" ref="C76:AX76" si="34">C36</f>
        <v/>
      </c>
      <c r="D76" s="8" t="str">
        <f t="shared" si="34"/>
        <v/>
      </c>
      <c r="E76" s="8" t="str">
        <f t="shared" si="34"/>
        <v/>
      </c>
      <c r="F76" s="8" t="str">
        <f t="shared" si="34"/>
        <v/>
      </c>
      <c r="G76" s="8" t="str">
        <f t="shared" si="34"/>
        <v/>
      </c>
      <c r="H76" s="8" t="str">
        <f t="shared" si="34"/>
        <v/>
      </c>
      <c r="I76" s="8" t="str">
        <f t="shared" si="34"/>
        <v/>
      </c>
      <c r="J76" s="8" t="str">
        <f t="shared" si="34"/>
        <v/>
      </c>
      <c r="K76" s="8" t="str">
        <f t="shared" si="34"/>
        <v/>
      </c>
      <c r="L76" s="8" t="str">
        <f t="shared" si="34"/>
        <v/>
      </c>
      <c r="M76" s="8" t="str">
        <f t="shared" si="34"/>
        <v/>
      </c>
      <c r="N76" s="8" t="str">
        <f t="shared" si="34"/>
        <v/>
      </c>
      <c r="O76" s="8" t="str">
        <f t="shared" si="34"/>
        <v/>
      </c>
      <c r="P76" s="8" t="str">
        <f t="shared" si="34"/>
        <v/>
      </c>
      <c r="Q76" s="8" t="str">
        <f t="shared" si="34"/>
        <v/>
      </c>
      <c r="R76" s="8" t="str">
        <f t="shared" si="34"/>
        <v/>
      </c>
      <c r="S76" s="8" t="str">
        <f t="shared" si="34"/>
        <v/>
      </c>
      <c r="T76" s="8" t="str">
        <f t="shared" si="34"/>
        <v/>
      </c>
      <c r="U76" s="8">
        <f t="shared" si="34"/>
        <v>9843.75</v>
      </c>
      <c r="V76" s="8">
        <f t="shared" si="34"/>
        <v>9843.75</v>
      </c>
      <c r="W76" s="8">
        <f t="shared" si="34"/>
        <v>9843.75</v>
      </c>
      <c r="X76" s="8">
        <f t="shared" si="34"/>
        <v>15555.82031</v>
      </c>
      <c r="Y76" s="8">
        <f t="shared" si="34"/>
        <v>17445.08757</v>
      </c>
      <c r="Z76" s="8">
        <f t="shared" si="34"/>
        <v>18069.96271</v>
      </c>
      <c r="AA76" s="8">
        <f t="shared" si="34"/>
        <v>21322.74686</v>
      </c>
      <c r="AB76" s="8">
        <f t="shared" si="34"/>
        <v>29577.91495</v>
      </c>
      <c r="AC76" s="8">
        <f t="shared" si="34"/>
        <v>32763.37793</v>
      </c>
      <c r="AD76" s="8">
        <f t="shared" si="34"/>
        <v>53416.89329</v>
      </c>
      <c r="AE76" s="8">
        <f t="shared" si="34"/>
        <v>65940.66867</v>
      </c>
      <c r="AF76" s="8">
        <f t="shared" si="34"/>
        <v>73534.77296</v>
      </c>
      <c r="AG76" s="8">
        <f t="shared" si="34"/>
        <v>85243.25232</v>
      </c>
      <c r="AH76" s="8">
        <f t="shared" si="34"/>
        <v>120884.9348</v>
      </c>
      <c r="AI76" s="8">
        <f t="shared" si="34"/>
        <v>151534.9997</v>
      </c>
      <c r="AJ76" s="8">
        <f t="shared" si="34"/>
        <v>177892.523</v>
      </c>
      <c r="AK76" s="8">
        <f t="shared" si="34"/>
        <v>200558.6752</v>
      </c>
      <c r="AL76" s="8">
        <f t="shared" si="34"/>
        <v>220050.4327</v>
      </c>
      <c r="AM76" s="8">
        <f t="shared" si="34"/>
        <v>227704.2015</v>
      </c>
      <c r="AN76" s="8">
        <f t="shared" si="34"/>
        <v>234032.9116</v>
      </c>
      <c r="AO76" s="8">
        <f t="shared" si="34"/>
        <v>239265.9638</v>
      </c>
      <c r="AP76" s="8">
        <f t="shared" si="34"/>
        <v>233849.3221</v>
      </c>
      <c r="AQ76" s="8">
        <f t="shared" si="34"/>
        <v>229549.5919</v>
      </c>
      <c r="AR76" s="8">
        <f t="shared" si="34"/>
        <v>226136.466</v>
      </c>
      <c r="AS76" s="8">
        <f t="shared" si="34"/>
        <v>221565.234</v>
      </c>
      <c r="AT76" s="8">
        <f t="shared" si="34"/>
        <v>176554.8287</v>
      </c>
      <c r="AU76" s="8">
        <f t="shared" si="34"/>
        <v>141123.3129</v>
      </c>
      <c r="AV76" s="8">
        <f t="shared" si="34"/>
        <v>112280.6243</v>
      </c>
      <c r="AW76" s="8">
        <f t="shared" si="34"/>
        <v>89766.88692</v>
      </c>
      <c r="AX76" s="8">
        <f t="shared" si="34"/>
        <v>72193.33892</v>
      </c>
    </row>
    <row r="77" ht="15.75" customHeight="1">
      <c r="B77" s="2" t="s">
        <v>132</v>
      </c>
      <c r="C77" s="8">
        <f t="shared" ref="C77:AX77" si="35">C76-C70</f>
        <v>0</v>
      </c>
      <c r="D77" s="8">
        <f t="shared" si="35"/>
        <v>0</v>
      </c>
      <c r="E77" s="8">
        <f t="shared" si="35"/>
        <v>0</v>
      </c>
      <c r="F77" s="8">
        <f t="shared" si="35"/>
        <v>0</v>
      </c>
      <c r="G77" s="8">
        <f t="shared" si="35"/>
        <v>0</v>
      </c>
      <c r="H77" s="8">
        <f t="shared" si="35"/>
        <v>0</v>
      </c>
      <c r="I77" s="8">
        <f t="shared" si="35"/>
        <v>0</v>
      </c>
      <c r="J77" s="8">
        <f t="shared" si="35"/>
        <v>0</v>
      </c>
      <c r="K77" s="8">
        <f t="shared" si="35"/>
        <v>0</v>
      </c>
      <c r="L77" s="8">
        <f t="shared" si="35"/>
        <v>0</v>
      </c>
      <c r="M77" s="8">
        <f t="shared" si="35"/>
        <v>0</v>
      </c>
      <c r="N77" s="8">
        <f t="shared" si="35"/>
        <v>0</v>
      </c>
      <c r="O77" s="8">
        <f t="shared" si="35"/>
        <v>0</v>
      </c>
      <c r="P77" s="8">
        <f t="shared" si="35"/>
        <v>0</v>
      </c>
      <c r="Q77" s="8">
        <f t="shared" si="35"/>
        <v>0</v>
      </c>
      <c r="R77" s="8">
        <f t="shared" si="35"/>
        <v>0</v>
      </c>
      <c r="S77" s="8">
        <f t="shared" si="35"/>
        <v>0</v>
      </c>
      <c r="T77" s="8">
        <f t="shared" si="35"/>
        <v>0</v>
      </c>
      <c r="U77" s="8">
        <f t="shared" si="35"/>
        <v>9499.21875</v>
      </c>
      <c r="V77" s="8">
        <f t="shared" si="35"/>
        <v>9499.21875</v>
      </c>
      <c r="W77" s="8">
        <f t="shared" si="35"/>
        <v>9499.21875</v>
      </c>
      <c r="X77" s="8">
        <f t="shared" si="35"/>
        <v>15011.3666</v>
      </c>
      <c r="Y77" s="8">
        <f t="shared" si="35"/>
        <v>16834.5095</v>
      </c>
      <c r="Z77" s="8">
        <f t="shared" si="35"/>
        <v>17437.51402</v>
      </c>
      <c r="AA77" s="8">
        <f t="shared" si="35"/>
        <v>20576.45072</v>
      </c>
      <c r="AB77" s="8">
        <f t="shared" si="35"/>
        <v>28542.68792</v>
      </c>
      <c r="AC77" s="8">
        <f t="shared" si="35"/>
        <v>31616.6597</v>
      </c>
      <c r="AD77" s="8">
        <f t="shared" si="35"/>
        <v>51547.30203</v>
      </c>
      <c r="AE77" s="8">
        <f t="shared" si="35"/>
        <v>63632.74527</v>
      </c>
      <c r="AF77" s="8">
        <f t="shared" si="35"/>
        <v>70961.05591</v>
      </c>
      <c r="AG77" s="8">
        <f t="shared" si="35"/>
        <v>82259.73849</v>
      </c>
      <c r="AH77" s="8">
        <f t="shared" si="35"/>
        <v>116653.9621</v>
      </c>
      <c r="AI77" s="8">
        <f t="shared" si="35"/>
        <v>146231.2747</v>
      </c>
      <c r="AJ77" s="8">
        <f t="shared" si="35"/>
        <v>171666.2847</v>
      </c>
      <c r="AK77" s="8">
        <f t="shared" si="35"/>
        <v>193539.1215</v>
      </c>
      <c r="AL77" s="8">
        <f t="shared" si="35"/>
        <v>212348.6676</v>
      </c>
      <c r="AM77" s="8">
        <f t="shared" si="35"/>
        <v>219734.5545</v>
      </c>
      <c r="AN77" s="8">
        <f t="shared" si="35"/>
        <v>225841.7597</v>
      </c>
      <c r="AO77" s="8">
        <f t="shared" si="35"/>
        <v>230891.6551</v>
      </c>
      <c r="AP77" s="8">
        <f t="shared" si="35"/>
        <v>225664.5958</v>
      </c>
      <c r="AQ77" s="8">
        <f t="shared" si="35"/>
        <v>221515.3561</v>
      </c>
      <c r="AR77" s="8">
        <f t="shared" si="35"/>
        <v>218221.6897</v>
      </c>
      <c r="AS77" s="8">
        <f t="shared" si="35"/>
        <v>213810.4508</v>
      </c>
      <c r="AT77" s="8">
        <f t="shared" si="35"/>
        <v>170375.4097</v>
      </c>
      <c r="AU77" s="8">
        <f t="shared" si="35"/>
        <v>136183.9969</v>
      </c>
      <c r="AV77" s="8">
        <f t="shared" si="35"/>
        <v>108350.8025</v>
      </c>
      <c r="AW77" s="8">
        <f t="shared" si="35"/>
        <v>86625.04588</v>
      </c>
      <c r="AX77" s="8">
        <f t="shared" si="35"/>
        <v>69666.57206</v>
      </c>
    </row>
    <row r="78" ht="15.75" customHeight="1">
      <c r="B78" s="2" t="s">
        <v>133</v>
      </c>
      <c r="C78" s="8">
        <f t="shared" ref="C78:AX78" si="36">C46+C63+C66</f>
        <v>0</v>
      </c>
      <c r="D78" s="8">
        <f t="shared" si="36"/>
        <v>0</v>
      </c>
      <c r="E78" s="8">
        <f t="shared" si="36"/>
        <v>0</v>
      </c>
      <c r="F78" s="8">
        <f t="shared" si="36"/>
        <v>0</v>
      </c>
      <c r="G78" s="8">
        <f t="shared" si="36"/>
        <v>0</v>
      </c>
      <c r="H78" s="8">
        <f t="shared" si="36"/>
        <v>0</v>
      </c>
      <c r="I78" s="8">
        <f t="shared" si="36"/>
        <v>600</v>
      </c>
      <c r="J78" s="8">
        <f t="shared" si="36"/>
        <v>600</v>
      </c>
      <c r="K78" s="8">
        <f t="shared" si="36"/>
        <v>4100</v>
      </c>
      <c r="L78" s="8">
        <f t="shared" si="36"/>
        <v>4850</v>
      </c>
      <c r="M78" s="8">
        <f t="shared" si="36"/>
        <v>4850</v>
      </c>
      <c r="N78" s="8">
        <f t="shared" si="36"/>
        <v>4850</v>
      </c>
      <c r="O78" s="8">
        <f t="shared" si="36"/>
        <v>7081.818182</v>
      </c>
      <c r="P78" s="8">
        <f t="shared" si="36"/>
        <v>7094.405594</v>
      </c>
      <c r="Q78" s="8">
        <f t="shared" si="36"/>
        <v>7106.993007</v>
      </c>
      <c r="R78" s="8">
        <f t="shared" si="36"/>
        <v>7119.58042</v>
      </c>
      <c r="S78" s="8">
        <f t="shared" si="36"/>
        <v>7132.167832</v>
      </c>
      <c r="T78" s="8">
        <f t="shared" si="36"/>
        <v>7144.755245</v>
      </c>
      <c r="U78" s="8">
        <f t="shared" si="36"/>
        <v>7157.642657</v>
      </c>
      <c r="V78" s="8">
        <f t="shared" si="36"/>
        <v>7920.23007</v>
      </c>
      <c r="W78" s="8">
        <f t="shared" si="36"/>
        <v>7932.817483</v>
      </c>
      <c r="X78" s="8">
        <f t="shared" si="36"/>
        <v>7945.404895</v>
      </c>
      <c r="Y78" s="8">
        <f t="shared" si="36"/>
        <v>7957.992308</v>
      </c>
      <c r="Z78" s="8">
        <f t="shared" si="36"/>
        <v>7970.57972</v>
      </c>
      <c r="AA78" s="8">
        <f t="shared" si="36"/>
        <v>10983.16713</v>
      </c>
      <c r="AB78" s="8">
        <f t="shared" si="36"/>
        <v>10995.75455</v>
      </c>
      <c r="AC78" s="8">
        <f t="shared" si="36"/>
        <v>11008.34196</v>
      </c>
      <c r="AD78" s="8">
        <f t="shared" si="36"/>
        <v>11020.92937</v>
      </c>
      <c r="AE78" s="8">
        <f t="shared" si="36"/>
        <v>11033.51678</v>
      </c>
      <c r="AF78" s="8">
        <f t="shared" si="36"/>
        <v>11046.1042</v>
      </c>
      <c r="AG78" s="8">
        <f t="shared" si="36"/>
        <v>13058.69161</v>
      </c>
      <c r="AH78" s="8">
        <f t="shared" si="36"/>
        <v>13071.27902</v>
      </c>
      <c r="AI78" s="8">
        <f t="shared" si="36"/>
        <v>13083.86643</v>
      </c>
      <c r="AJ78" s="8">
        <f t="shared" si="36"/>
        <v>13096.45385</v>
      </c>
      <c r="AK78" s="8">
        <f t="shared" si="36"/>
        <v>13109.04126</v>
      </c>
      <c r="AL78" s="8">
        <f t="shared" si="36"/>
        <v>13121.62867</v>
      </c>
      <c r="AM78" s="8">
        <f t="shared" si="36"/>
        <v>13121.62867</v>
      </c>
      <c r="AN78" s="8">
        <f t="shared" si="36"/>
        <v>13121.62867</v>
      </c>
      <c r="AO78" s="8">
        <f t="shared" si="36"/>
        <v>13121.62867</v>
      </c>
      <c r="AP78" s="8">
        <f t="shared" si="36"/>
        <v>13121.62867</v>
      </c>
      <c r="AQ78" s="8">
        <f t="shared" si="36"/>
        <v>13121.62867</v>
      </c>
      <c r="AR78" s="8">
        <f t="shared" si="36"/>
        <v>13121.62867</v>
      </c>
      <c r="AS78" s="8">
        <f t="shared" si="36"/>
        <v>13121.62867</v>
      </c>
      <c r="AT78" s="8">
        <f t="shared" si="36"/>
        <v>13121.62867</v>
      </c>
      <c r="AU78" s="8">
        <f t="shared" si="36"/>
        <v>13121.62867</v>
      </c>
      <c r="AV78" s="8">
        <f t="shared" si="36"/>
        <v>13121.62867</v>
      </c>
      <c r="AW78" s="8">
        <f t="shared" si="36"/>
        <v>13121.62867</v>
      </c>
      <c r="AX78" s="8">
        <f t="shared" si="36"/>
        <v>13121.62867</v>
      </c>
    </row>
    <row r="79" ht="15.75" customHeight="1">
      <c r="B79" s="2" t="s">
        <v>134</v>
      </c>
      <c r="C79" s="14">
        <f t="shared" ref="C79:AX79" si="37">IFERROR(C78/C77,0)</f>
        <v>0</v>
      </c>
      <c r="D79" s="14">
        <f t="shared" si="37"/>
        <v>0</v>
      </c>
      <c r="E79" s="14">
        <f t="shared" si="37"/>
        <v>0</v>
      </c>
      <c r="F79" s="14">
        <f t="shared" si="37"/>
        <v>0</v>
      </c>
      <c r="G79" s="14">
        <f t="shared" si="37"/>
        <v>0</v>
      </c>
      <c r="H79" s="14">
        <f t="shared" si="37"/>
        <v>0</v>
      </c>
      <c r="I79" s="14">
        <f t="shared" si="37"/>
        <v>0</v>
      </c>
      <c r="J79" s="14">
        <f t="shared" si="37"/>
        <v>0</v>
      </c>
      <c r="K79" s="14">
        <f t="shared" si="37"/>
        <v>0</v>
      </c>
      <c r="L79" s="14">
        <f t="shared" si="37"/>
        <v>0</v>
      </c>
      <c r="M79" s="14">
        <f t="shared" si="37"/>
        <v>0</v>
      </c>
      <c r="N79" s="14">
        <f t="shared" si="37"/>
        <v>0</v>
      </c>
      <c r="O79" s="14">
        <f t="shared" si="37"/>
        <v>0</v>
      </c>
      <c r="P79" s="14">
        <f t="shared" si="37"/>
        <v>0</v>
      </c>
      <c r="Q79" s="14">
        <f t="shared" si="37"/>
        <v>0</v>
      </c>
      <c r="R79" s="14">
        <f t="shared" si="37"/>
        <v>0</v>
      </c>
      <c r="S79" s="14">
        <f t="shared" si="37"/>
        <v>0</v>
      </c>
      <c r="T79" s="14">
        <f t="shared" si="37"/>
        <v>0</v>
      </c>
      <c r="U79" s="14">
        <f t="shared" si="37"/>
        <v>0.7534980345</v>
      </c>
      <c r="V79" s="14">
        <f t="shared" si="37"/>
        <v>0.8337769956</v>
      </c>
      <c r="W79" s="14">
        <f t="shared" si="37"/>
        <v>0.8351020954</v>
      </c>
      <c r="X79" s="14">
        <f t="shared" si="37"/>
        <v>0.5292925758</v>
      </c>
      <c r="Y79" s="14">
        <f t="shared" si="37"/>
        <v>0.4727189887</v>
      </c>
      <c r="Z79" s="14">
        <f t="shared" si="37"/>
        <v>0.45709381</v>
      </c>
      <c r="AA79" s="14">
        <f t="shared" si="37"/>
        <v>0.5337736465</v>
      </c>
      <c r="AB79" s="14">
        <f t="shared" si="37"/>
        <v>0.3852389297</v>
      </c>
      <c r="AC79" s="14">
        <f t="shared" si="37"/>
        <v>0.3481816884</v>
      </c>
      <c r="AD79" s="14">
        <f t="shared" si="37"/>
        <v>0.2138022542</v>
      </c>
      <c r="AE79" s="14">
        <f t="shared" si="37"/>
        <v>0.1733936943</v>
      </c>
      <c r="AF79" s="14">
        <f t="shared" si="37"/>
        <v>0.1556643155</v>
      </c>
      <c r="AG79" s="14">
        <f t="shared" si="37"/>
        <v>0.1587494909</v>
      </c>
      <c r="AH79" s="14">
        <f t="shared" si="37"/>
        <v>0.1120517365</v>
      </c>
      <c r="AI79" s="14">
        <f t="shared" si="37"/>
        <v>0.08947379047</v>
      </c>
      <c r="AJ79" s="14">
        <f t="shared" si="37"/>
        <v>0.07629019216</v>
      </c>
      <c r="AK79" s="14">
        <f t="shared" si="37"/>
        <v>0.06773328904</v>
      </c>
      <c r="AL79" s="14">
        <f t="shared" si="37"/>
        <v>0.06179284675</v>
      </c>
      <c r="AM79" s="14">
        <f t="shared" si="37"/>
        <v>0.05971581803</v>
      </c>
      <c r="AN79" s="14">
        <f t="shared" si="37"/>
        <v>0.0581009849</v>
      </c>
      <c r="AO79" s="14">
        <f t="shared" si="37"/>
        <v>0.05683024216</v>
      </c>
      <c r="AP79" s="14">
        <f t="shared" si="37"/>
        <v>0.0581465986</v>
      </c>
      <c r="AQ79" s="14">
        <f t="shared" si="37"/>
        <v>0.05923575187</v>
      </c>
      <c r="AR79" s="14">
        <f t="shared" si="37"/>
        <v>0.06012980968</v>
      </c>
      <c r="AS79" s="14">
        <f t="shared" si="37"/>
        <v>0.06137038027</v>
      </c>
      <c r="AT79" s="14">
        <f t="shared" si="37"/>
        <v>0.0770159772</v>
      </c>
      <c r="AU79" s="14">
        <f t="shared" si="37"/>
        <v>0.09635220708</v>
      </c>
      <c r="AV79" s="14">
        <f t="shared" si="37"/>
        <v>0.1211031979</v>
      </c>
      <c r="AW79" s="14">
        <f t="shared" si="37"/>
        <v>0.1514761526</v>
      </c>
      <c r="AX79" s="14">
        <f t="shared" si="37"/>
        <v>0.1883489927</v>
      </c>
    </row>
    <row r="80" ht="15.75" customHeight="1">
      <c r="B80" s="2" t="s">
        <v>135</v>
      </c>
      <c r="C80" s="8">
        <f t="shared" ref="C80:AX80" si="38">IF(C81&gt;0, C81*C73, 0)</f>
        <v>0</v>
      </c>
      <c r="D80" s="8">
        <f t="shared" si="38"/>
        <v>0</v>
      </c>
      <c r="E80" s="8">
        <f t="shared" si="38"/>
        <v>0</v>
      </c>
      <c r="F80" s="8">
        <f t="shared" si="38"/>
        <v>0</v>
      </c>
      <c r="G80" s="8">
        <f t="shared" si="38"/>
        <v>0</v>
      </c>
      <c r="H80" s="8">
        <f t="shared" si="38"/>
        <v>0</v>
      </c>
      <c r="I80" s="8">
        <f t="shared" si="38"/>
        <v>0</v>
      </c>
      <c r="J80" s="8">
        <f t="shared" si="38"/>
        <v>0</v>
      </c>
      <c r="K80" s="8">
        <f t="shared" si="38"/>
        <v>0</v>
      </c>
      <c r="L80" s="8">
        <f t="shared" si="38"/>
        <v>0</v>
      </c>
      <c r="M80" s="8">
        <f t="shared" si="38"/>
        <v>0</v>
      </c>
      <c r="N80" s="8">
        <f t="shared" si="38"/>
        <v>0</v>
      </c>
      <c r="O80" s="8">
        <f t="shared" si="38"/>
        <v>0</v>
      </c>
      <c r="P80" s="8">
        <f t="shared" si="38"/>
        <v>0</v>
      </c>
      <c r="Q80" s="8">
        <f t="shared" si="38"/>
        <v>0</v>
      </c>
      <c r="R80" s="8">
        <f t="shared" si="38"/>
        <v>0</v>
      </c>
      <c r="S80" s="8">
        <f t="shared" si="38"/>
        <v>0</v>
      </c>
      <c r="T80" s="8">
        <f t="shared" si="38"/>
        <v>0</v>
      </c>
      <c r="U80" s="8">
        <f t="shared" si="38"/>
        <v>351.2364139</v>
      </c>
      <c r="V80" s="8">
        <f t="shared" si="38"/>
        <v>236.848302</v>
      </c>
      <c r="W80" s="8">
        <f t="shared" si="38"/>
        <v>234.9601901</v>
      </c>
      <c r="X80" s="8">
        <f t="shared" si="38"/>
        <v>1059.894256</v>
      </c>
      <c r="Y80" s="8">
        <f t="shared" si="38"/>
        <v>1331.477579</v>
      </c>
      <c r="Z80" s="8">
        <f t="shared" si="38"/>
        <v>1420.040145</v>
      </c>
      <c r="AA80" s="8">
        <f t="shared" si="38"/>
        <v>1438.992538</v>
      </c>
      <c r="AB80" s="8">
        <f t="shared" si="38"/>
        <v>2632.040007</v>
      </c>
      <c r="AC80" s="8">
        <f t="shared" si="38"/>
        <v>3091.247662</v>
      </c>
      <c r="AD80" s="8">
        <f t="shared" si="38"/>
        <v>6078.955898</v>
      </c>
      <c r="AE80" s="8">
        <f t="shared" si="38"/>
        <v>7889.884272</v>
      </c>
      <c r="AF80" s="8">
        <f t="shared" si="38"/>
        <v>8987.242757</v>
      </c>
      <c r="AG80" s="8">
        <f t="shared" si="38"/>
        <v>10380.15703</v>
      </c>
      <c r="AH80" s="8">
        <f t="shared" si="38"/>
        <v>15537.40246</v>
      </c>
      <c r="AI80" s="8">
        <f t="shared" si="38"/>
        <v>19972.11124</v>
      </c>
      <c r="AJ80" s="8">
        <f t="shared" si="38"/>
        <v>23785.47463</v>
      </c>
      <c r="AK80" s="8">
        <f t="shared" si="38"/>
        <v>27064.51204</v>
      </c>
      <c r="AL80" s="8">
        <f t="shared" si="38"/>
        <v>29884.05583</v>
      </c>
      <c r="AM80" s="8">
        <f t="shared" si="38"/>
        <v>30991.93887</v>
      </c>
      <c r="AN80" s="8">
        <f t="shared" si="38"/>
        <v>31908.01966</v>
      </c>
      <c r="AO80" s="8">
        <f t="shared" si="38"/>
        <v>32665.50396</v>
      </c>
      <c r="AP80" s="8">
        <f t="shared" si="38"/>
        <v>31881.44507</v>
      </c>
      <c r="AQ80" s="8">
        <f t="shared" si="38"/>
        <v>31259.05912</v>
      </c>
      <c r="AR80" s="8">
        <f t="shared" si="38"/>
        <v>30765.00916</v>
      </c>
      <c r="AS80" s="8">
        <f t="shared" si="38"/>
        <v>30103.32332</v>
      </c>
      <c r="AT80" s="8">
        <f t="shared" si="38"/>
        <v>23588.06716</v>
      </c>
      <c r="AU80" s="8">
        <f t="shared" si="38"/>
        <v>18459.35524</v>
      </c>
      <c r="AV80" s="8">
        <f t="shared" si="38"/>
        <v>14284.37607</v>
      </c>
      <c r="AW80" s="8">
        <f t="shared" si="38"/>
        <v>11025.51258</v>
      </c>
      <c r="AX80" s="8">
        <f t="shared" si="38"/>
        <v>8481.741509</v>
      </c>
    </row>
    <row r="81" ht="15.75" customHeight="1">
      <c r="B81" s="2" t="s">
        <v>136</v>
      </c>
      <c r="C81" s="8">
        <f>C77-C4</f>
        <v>0</v>
      </c>
      <c r="D81" s="8">
        <f t="shared" ref="D81:AX81" si="39">D77-D78</f>
        <v>0</v>
      </c>
      <c r="E81" s="8">
        <f t="shared" si="39"/>
        <v>0</v>
      </c>
      <c r="F81" s="8">
        <f t="shared" si="39"/>
        <v>0</v>
      </c>
      <c r="G81" s="8">
        <f t="shared" si="39"/>
        <v>0</v>
      </c>
      <c r="H81" s="8">
        <f t="shared" si="39"/>
        <v>0</v>
      </c>
      <c r="I81" s="8">
        <f t="shared" si="39"/>
        <v>-600</v>
      </c>
      <c r="J81" s="8">
        <f t="shared" si="39"/>
        <v>-600</v>
      </c>
      <c r="K81" s="8">
        <f t="shared" si="39"/>
        <v>-4100</v>
      </c>
      <c r="L81" s="8">
        <f t="shared" si="39"/>
        <v>-4850</v>
      </c>
      <c r="M81" s="8">
        <f t="shared" si="39"/>
        <v>-4850</v>
      </c>
      <c r="N81" s="8">
        <f t="shared" si="39"/>
        <v>-4850</v>
      </c>
      <c r="O81" s="8">
        <f t="shared" si="39"/>
        <v>-7081.818182</v>
      </c>
      <c r="P81" s="8">
        <f t="shared" si="39"/>
        <v>-7094.405594</v>
      </c>
      <c r="Q81" s="8">
        <f t="shared" si="39"/>
        <v>-7106.993007</v>
      </c>
      <c r="R81" s="8">
        <f t="shared" si="39"/>
        <v>-7119.58042</v>
      </c>
      <c r="S81" s="8">
        <f t="shared" si="39"/>
        <v>-7132.167832</v>
      </c>
      <c r="T81" s="8">
        <f t="shared" si="39"/>
        <v>-7144.755245</v>
      </c>
      <c r="U81" s="8">
        <f t="shared" si="39"/>
        <v>2341.576093</v>
      </c>
      <c r="V81" s="8">
        <f t="shared" si="39"/>
        <v>1578.98868</v>
      </c>
      <c r="W81" s="8">
        <f t="shared" si="39"/>
        <v>1566.401267</v>
      </c>
      <c r="X81" s="8">
        <f t="shared" si="39"/>
        <v>7065.961706</v>
      </c>
      <c r="Y81" s="8">
        <f t="shared" si="39"/>
        <v>8876.517196</v>
      </c>
      <c r="Z81" s="8">
        <f t="shared" si="39"/>
        <v>9466.934298</v>
      </c>
      <c r="AA81" s="8">
        <f t="shared" si="39"/>
        <v>9593.283589</v>
      </c>
      <c r="AB81" s="8">
        <f t="shared" si="39"/>
        <v>17546.93338</v>
      </c>
      <c r="AC81" s="8">
        <f t="shared" si="39"/>
        <v>20608.31774</v>
      </c>
      <c r="AD81" s="8">
        <f t="shared" si="39"/>
        <v>40526.37266</v>
      </c>
      <c r="AE81" s="8">
        <f t="shared" si="39"/>
        <v>52599.22848</v>
      </c>
      <c r="AF81" s="8">
        <f t="shared" si="39"/>
        <v>59914.95172</v>
      </c>
      <c r="AG81" s="8">
        <f t="shared" si="39"/>
        <v>69201.04688</v>
      </c>
      <c r="AH81" s="8">
        <f t="shared" si="39"/>
        <v>103582.6831</v>
      </c>
      <c r="AI81" s="8">
        <f t="shared" si="39"/>
        <v>133147.4083</v>
      </c>
      <c r="AJ81" s="8">
        <f t="shared" si="39"/>
        <v>158569.8308</v>
      </c>
      <c r="AK81" s="8">
        <f t="shared" si="39"/>
        <v>180430.0803</v>
      </c>
      <c r="AL81" s="8">
        <f t="shared" si="39"/>
        <v>199227.0389</v>
      </c>
      <c r="AM81" s="8">
        <f t="shared" si="39"/>
        <v>206612.9258</v>
      </c>
      <c r="AN81" s="8">
        <f t="shared" si="39"/>
        <v>212720.1311</v>
      </c>
      <c r="AO81" s="8">
        <f t="shared" si="39"/>
        <v>217770.0264</v>
      </c>
      <c r="AP81" s="8">
        <f t="shared" si="39"/>
        <v>212542.9671</v>
      </c>
      <c r="AQ81" s="8">
        <f t="shared" si="39"/>
        <v>208393.7275</v>
      </c>
      <c r="AR81" s="8">
        <f t="shared" si="39"/>
        <v>205100.061</v>
      </c>
      <c r="AS81" s="8">
        <f t="shared" si="39"/>
        <v>200688.8221</v>
      </c>
      <c r="AT81" s="8">
        <f t="shared" si="39"/>
        <v>157253.7811</v>
      </c>
      <c r="AU81" s="8">
        <f t="shared" si="39"/>
        <v>123062.3682</v>
      </c>
      <c r="AV81" s="8">
        <f t="shared" si="39"/>
        <v>95229.17379</v>
      </c>
      <c r="AW81" s="8">
        <f t="shared" si="39"/>
        <v>73503.41721</v>
      </c>
      <c r="AX81" s="8">
        <f t="shared" si="39"/>
        <v>56544.94339</v>
      </c>
    </row>
    <row r="82" ht="15.75" customHeight="1">
      <c r="B82" s="2" t="s">
        <v>137</v>
      </c>
      <c r="C82" s="8">
        <f t="shared" ref="C82:AX82" si="40">C81-C80</f>
        <v>0</v>
      </c>
      <c r="D82" s="8">
        <f t="shared" si="40"/>
        <v>0</v>
      </c>
      <c r="E82" s="8">
        <f t="shared" si="40"/>
        <v>0</v>
      </c>
      <c r="F82" s="8">
        <f t="shared" si="40"/>
        <v>0</v>
      </c>
      <c r="G82" s="8">
        <f t="shared" si="40"/>
        <v>0</v>
      </c>
      <c r="H82" s="8">
        <f t="shared" si="40"/>
        <v>0</v>
      </c>
      <c r="I82" s="8">
        <f t="shared" si="40"/>
        <v>-600</v>
      </c>
      <c r="J82" s="8">
        <f t="shared" si="40"/>
        <v>-600</v>
      </c>
      <c r="K82" s="8">
        <f t="shared" si="40"/>
        <v>-4100</v>
      </c>
      <c r="L82" s="8">
        <f t="shared" si="40"/>
        <v>-4850</v>
      </c>
      <c r="M82" s="8">
        <f t="shared" si="40"/>
        <v>-4850</v>
      </c>
      <c r="N82" s="8">
        <f t="shared" si="40"/>
        <v>-4850</v>
      </c>
      <c r="O82" s="8">
        <f t="shared" si="40"/>
        <v>-7081.818182</v>
      </c>
      <c r="P82" s="8">
        <f t="shared" si="40"/>
        <v>-7094.405594</v>
      </c>
      <c r="Q82" s="8">
        <f t="shared" si="40"/>
        <v>-7106.993007</v>
      </c>
      <c r="R82" s="8">
        <f t="shared" si="40"/>
        <v>-7119.58042</v>
      </c>
      <c r="S82" s="8">
        <f t="shared" si="40"/>
        <v>-7132.167832</v>
      </c>
      <c r="T82" s="8">
        <f t="shared" si="40"/>
        <v>-7144.755245</v>
      </c>
      <c r="U82" s="8">
        <f t="shared" si="40"/>
        <v>1990.339679</v>
      </c>
      <c r="V82" s="8">
        <f t="shared" si="40"/>
        <v>1342.140378</v>
      </c>
      <c r="W82" s="8">
        <f t="shared" si="40"/>
        <v>1331.441077</v>
      </c>
      <c r="X82" s="8">
        <f t="shared" si="40"/>
        <v>6006.06745</v>
      </c>
      <c r="Y82" s="8">
        <f t="shared" si="40"/>
        <v>7545.039616</v>
      </c>
      <c r="Z82" s="8">
        <f t="shared" si="40"/>
        <v>8046.894153</v>
      </c>
      <c r="AA82" s="8">
        <f t="shared" si="40"/>
        <v>8154.291051</v>
      </c>
      <c r="AB82" s="8">
        <f t="shared" si="40"/>
        <v>14914.89337</v>
      </c>
      <c r="AC82" s="8">
        <f t="shared" si="40"/>
        <v>17517.07008</v>
      </c>
      <c r="AD82" s="8">
        <f t="shared" si="40"/>
        <v>34447.41676</v>
      </c>
      <c r="AE82" s="8">
        <f t="shared" si="40"/>
        <v>44709.34421</v>
      </c>
      <c r="AF82" s="8">
        <f t="shared" si="40"/>
        <v>50927.70896</v>
      </c>
      <c r="AG82" s="8">
        <f t="shared" si="40"/>
        <v>58820.88985</v>
      </c>
      <c r="AH82" s="8">
        <f t="shared" si="40"/>
        <v>88045.28063</v>
      </c>
      <c r="AI82" s="8">
        <f t="shared" si="40"/>
        <v>113175.297</v>
      </c>
      <c r="AJ82" s="8">
        <f t="shared" si="40"/>
        <v>134784.3562</v>
      </c>
      <c r="AK82" s="8">
        <f t="shared" si="40"/>
        <v>153365.5682</v>
      </c>
      <c r="AL82" s="8">
        <f t="shared" si="40"/>
        <v>169342.983</v>
      </c>
      <c r="AM82" s="8">
        <f t="shared" si="40"/>
        <v>175620.9869</v>
      </c>
      <c r="AN82" s="8">
        <f t="shared" si="40"/>
        <v>180812.1114</v>
      </c>
      <c r="AO82" s="8">
        <f t="shared" si="40"/>
        <v>185104.5224</v>
      </c>
      <c r="AP82" s="8">
        <f t="shared" si="40"/>
        <v>180661.5221</v>
      </c>
      <c r="AQ82" s="8">
        <f t="shared" si="40"/>
        <v>177134.6684</v>
      </c>
      <c r="AR82" s="8">
        <f t="shared" si="40"/>
        <v>174335.0519</v>
      </c>
      <c r="AS82" s="8">
        <f t="shared" si="40"/>
        <v>170585.4988</v>
      </c>
      <c r="AT82" s="8">
        <f t="shared" si="40"/>
        <v>133665.7139</v>
      </c>
      <c r="AU82" s="8">
        <f t="shared" si="40"/>
        <v>104603.013</v>
      </c>
      <c r="AV82" s="8">
        <f t="shared" si="40"/>
        <v>80944.79772</v>
      </c>
      <c r="AW82" s="8">
        <f t="shared" si="40"/>
        <v>62477.90463</v>
      </c>
      <c r="AX82" s="8">
        <f t="shared" si="40"/>
        <v>48063.20188</v>
      </c>
    </row>
    <row r="83" ht="15.75" customHeight="1">
      <c r="B83" s="2" t="s">
        <v>138</v>
      </c>
      <c r="C83" s="8"/>
      <c r="D83" s="8"/>
      <c r="E83" s="8"/>
      <c r="F83" s="8"/>
      <c r="G83" s="8"/>
      <c r="H83" s="8"/>
      <c r="I83" s="8">
        <v>20000.0</v>
      </c>
      <c r="J83" s="8"/>
      <c r="K83" s="8"/>
      <c r="L83" s="8">
        <v>20000.0</v>
      </c>
      <c r="M83" s="8"/>
      <c r="N83" s="8"/>
      <c r="O83" s="8">
        <v>20000.0</v>
      </c>
      <c r="P83" s="8"/>
      <c r="Q83" s="8"/>
      <c r="R83" s="8">
        <v>20000.0</v>
      </c>
      <c r="S83" s="8"/>
      <c r="T83" s="8"/>
      <c r="U83" s="8">
        <v>20000.0</v>
      </c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ht="15.75" customHeight="1">
      <c r="B84" s="2" t="s">
        <v>139</v>
      </c>
      <c r="C84" s="8">
        <f>C83+C81</f>
        <v>0</v>
      </c>
      <c r="D84" s="8">
        <f t="shared" ref="D84:AX84" si="41">C84+D81+D83</f>
        <v>0</v>
      </c>
      <c r="E84" s="8">
        <f t="shared" si="41"/>
        <v>0</v>
      </c>
      <c r="F84" s="8">
        <f t="shared" si="41"/>
        <v>0</v>
      </c>
      <c r="G84" s="8">
        <f t="shared" si="41"/>
        <v>0</v>
      </c>
      <c r="H84" s="8">
        <f t="shared" si="41"/>
        <v>0</v>
      </c>
      <c r="I84" s="8">
        <f t="shared" si="41"/>
        <v>19400</v>
      </c>
      <c r="J84" s="8">
        <f t="shared" si="41"/>
        <v>18800</v>
      </c>
      <c r="K84" s="8">
        <f t="shared" si="41"/>
        <v>14700</v>
      </c>
      <c r="L84" s="8">
        <f t="shared" si="41"/>
        <v>29850</v>
      </c>
      <c r="M84" s="8">
        <f t="shared" si="41"/>
        <v>25000</v>
      </c>
      <c r="N84" s="8">
        <f t="shared" si="41"/>
        <v>20150</v>
      </c>
      <c r="O84" s="8">
        <f t="shared" si="41"/>
        <v>33068.18182</v>
      </c>
      <c r="P84" s="8">
        <f t="shared" si="41"/>
        <v>25973.77622</v>
      </c>
      <c r="Q84" s="8">
        <f t="shared" si="41"/>
        <v>18866.78322</v>
      </c>
      <c r="R84" s="8">
        <f t="shared" si="41"/>
        <v>31747.2028</v>
      </c>
      <c r="S84" s="8">
        <f t="shared" si="41"/>
        <v>24615.03497</v>
      </c>
      <c r="T84" s="8">
        <f t="shared" si="41"/>
        <v>17470.27972</v>
      </c>
      <c r="U84" s="8">
        <f t="shared" si="41"/>
        <v>39811.85581</v>
      </c>
      <c r="V84" s="8">
        <f t="shared" si="41"/>
        <v>41390.84449</v>
      </c>
      <c r="W84" s="8">
        <f t="shared" si="41"/>
        <v>42957.24576</v>
      </c>
      <c r="X84" s="8">
        <f t="shared" si="41"/>
        <v>50023.20747</v>
      </c>
      <c r="Y84" s="8">
        <f t="shared" si="41"/>
        <v>58899.72466</v>
      </c>
      <c r="Z84" s="8">
        <f t="shared" si="41"/>
        <v>68366.65896</v>
      </c>
      <c r="AA84" s="8">
        <f t="shared" si="41"/>
        <v>77959.94255</v>
      </c>
      <c r="AB84" s="8">
        <f t="shared" si="41"/>
        <v>95506.87593</v>
      </c>
      <c r="AC84" s="8">
        <f t="shared" si="41"/>
        <v>116115.1937</v>
      </c>
      <c r="AD84" s="8">
        <f t="shared" si="41"/>
        <v>156641.5663</v>
      </c>
      <c r="AE84" s="8">
        <f t="shared" si="41"/>
        <v>209240.7948</v>
      </c>
      <c r="AF84" s="8">
        <f t="shared" si="41"/>
        <v>269155.7465</v>
      </c>
      <c r="AG84" s="8">
        <f t="shared" si="41"/>
        <v>338356.7934</v>
      </c>
      <c r="AH84" s="8">
        <f t="shared" si="41"/>
        <v>441939.4765</v>
      </c>
      <c r="AI84" s="8">
        <f t="shared" si="41"/>
        <v>575086.8848</v>
      </c>
      <c r="AJ84" s="8">
        <f t="shared" si="41"/>
        <v>733656.7156</v>
      </c>
      <c r="AK84" s="8">
        <f t="shared" si="41"/>
        <v>914086.7959</v>
      </c>
      <c r="AL84" s="8">
        <f t="shared" si="41"/>
        <v>1113313.835</v>
      </c>
      <c r="AM84" s="8">
        <f t="shared" si="41"/>
        <v>1319926.761</v>
      </c>
      <c r="AN84" s="8">
        <f t="shared" si="41"/>
        <v>1532646.892</v>
      </c>
      <c r="AO84" s="8">
        <f t="shared" si="41"/>
        <v>1750416.918</v>
      </c>
      <c r="AP84" s="8">
        <f t="shared" si="41"/>
        <v>1962959.885</v>
      </c>
      <c r="AQ84" s="8">
        <f t="shared" si="41"/>
        <v>2171353.613</v>
      </c>
      <c r="AR84" s="8">
        <f t="shared" si="41"/>
        <v>2376453.674</v>
      </c>
      <c r="AS84" s="8">
        <f t="shared" si="41"/>
        <v>2577142.496</v>
      </c>
      <c r="AT84" s="8">
        <f t="shared" si="41"/>
        <v>2734396.277</v>
      </c>
      <c r="AU84" s="8">
        <f t="shared" si="41"/>
        <v>2857458.645</v>
      </c>
      <c r="AV84" s="8">
        <f t="shared" si="41"/>
        <v>2952687.819</v>
      </c>
      <c r="AW84" s="8">
        <f t="shared" si="41"/>
        <v>3026191.236</v>
      </c>
      <c r="AX84" s="8">
        <f t="shared" si="41"/>
        <v>3082736.18</v>
      </c>
    </row>
    <row r="85" ht="15.75" customHeight="1">
      <c r="B85" s="2" t="s">
        <v>140</v>
      </c>
      <c r="C85" s="8">
        <v>0.0</v>
      </c>
      <c r="D85" s="8">
        <f t="shared" ref="D85:AX85" si="42">C85+D82</f>
        <v>0</v>
      </c>
      <c r="E85" s="8">
        <f t="shared" si="42"/>
        <v>0</v>
      </c>
      <c r="F85" s="8">
        <f t="shared" si="42"/>
        <v>0</v>
      </c>
      <c r="G85" s="8">
        <f t="shared" si="42"/>
        <v>0</v>
      </c>
      <c r="H85" s="8">
        <f t="shared" si="42"/>
        <v>0</v>
      </c>
      <c r="I85" s="8">
        <f t="shared" si="42"/>
        <v>-600</v>
      </c>
      <c r="J85" s="8">
        <f t="shared" si="42"/>
        <v>-1200</v>
      </c>
      <c r="K85" s="8">
        <f t="shared" si="42"/>
        <v>-5300</v>
      </c>
      <c r="L85" s="8">
        <f t="shared" si="42"/>
        <v>-10150</v>
      </c>
      <c r="M85" s="8">
        <f t="shared" si="42"/>
        <v>-15000</v>
      </c>
      <c r="N85" s="8">
        <f t="shared" si="42"/>
        <v>-19850</v>
      </c>
      <c r="O85" s="8">
        <f t="shared" si="42"/>
        <v>-26931.81818</v>
      </c>
      <c r="P85" s="8">
        <f t="shared" si="42"/>
        <v>-34026.22378</v>
      </c>
      <c r="Q85" s="8">
        <f t="shared" si="42"/>
        <v>-41133.21678</v>
      </c>
      <c r="R85" s="8">
        <f t="shared" si="42"/>
        <v>-48252.7972</v>
      </c>
      <c r="S85" s="8">
        <f t="shared" si="42"/>
        <v>-55384.96503</v>
      </c>
      <c r="T85" s="8">
        <f t="shared" si="42"/>
        <v>-62529.72028</v>
      </c>
      <c r="U85" s="8">
        <f t="shared" si="42"/>
        <v>-60539.3806</v>
      </c>
      <c r="V85" s="8">
        <f t="shared" si="42"/>
        <v>-59197.24022</v>
      </c>
      <c r="W85" s="8">
        <f t="shared" si="42"/>
        <v>-57865.79915</v>
      </c>
      <c r="X85" s="8">
        <f t="shared" si="42"/>
        <v>-51859.7317</v>
      </c>
      <c r="Y85" s="8">
        <f t="shared" si="42"/>
        <v>-44314.69208</v>
      </c>
      <c r="Z85" s="8">
        <f t="shared" si="42"/>
        <v>-36267.79793</v>
      </c>
      <c r="AA85" s="8">
        <f t="shared" si="42"/>
        <v>-28113.50687</v>
      </c>
      <c r="AB85" s="8">
        <f t="shared" si="42"/>
        <v>-13198.6135</v>
      </c>
      <c r="AC85" s="8">
        <f t="shared" si="42"/>
        <v>4318.456578</v>
      </c>
      <c r="AD85" s="8">
        <f t="shared" si="42"/>
        <v>38765.87334</v>
      </c>
      <c r="AE85" s="8">
        <f t="shared" si="42"/>
        <v>83475.21755</v>
      </c>
      <c r="AF85" s="8">
        <f t="shared" si="42"/>
        <v>134402.9265</v>
      </c>
      <c r="AG85" s="8">
        <f t="shared" si="42"/>
        <v>193223.8163</v>
      </c>
      <c r="AH85" s="8">
        <f t="shared" si="42"/>
        <v>281269.097</v>
      </c>
      <c r="AI85" s="8">
        <f t="shared" si="42"/>
        <v>394444.394</v>
      </c>
      <c r="AJ85" s="8">
        <f t="shared" si="42"/>
        <v>529228.7502</v>
      </c>
      <c r="AK85" s="8">
        <f t="shared" si="42"/>
        <v>682594.3185</v>
      </c>
      <c r="AL85" s="8">
        <f t="shared" si="42"/>
        <v>851937.3015</v>
      </c>
      <c r="AM85" s="8">
        <f t="shared" si="42"/>
        <v>1027558.288</v>
      </c>
      <c r="AN85" s="8">
        <f t="shared" si="42"/>
        <v>1208370.4</v>
      </c>
      <c r="AO85" s="8">
        <f t="shared" si="42"/>
        <v>1393474.922</v>
      </c>
      <c r="AP85" s="8">
        <f t="shared" si="42"/>
        <v>1574136.444</v>
      </c>
      <c r="AQ85" s="8">
        <f t="shared" si="42"/>
        <v>1751271.113</v>
      </c>
      <c r="AR85" s="8">
        <f t="shared" si="42"/>
        <v>1925606.165</v>
      </c>
      <c r="AS85" s="8">
        <f t="shared" si="42"/>
        <v>2096191.663</v>
      </c>
      <c r="AT85" s="8">
        <f t="shared" si="42"/>
        <v>2229857.377</v>
      </c>
      <c r="AU85" s="8">
        <f t="shared" si="42"/>
        <v>2334460.39</v>
      </c>
      <c r="AV85" s="8">
        <f t="shared" si="42"/>
        <v>2415405.188</v>
      </c>
      <c r="AW85" s="8">
        <f t="shared" si="42"/>
        <v>2477883.093</v>
      </c>
      <c r="AX85" s="8">
        <f t="shared" si="42"/>
        <v>2525946.295</v>
      </c>
    </row>
    <row r="86" ht="15.75" customHeight="1">
      <c r="B86" s="2" t="s">
        <v>141</v>
      </c>
      <c r="C86" s="8"/>
      <c r="D86" s="14">
        <f t="shared" ref="D86:AX86" si="43">IFERROR(D82/D76,0)</f>
        <v>0</v>
      </c>
      <c r="E86" s="14">
        <f t="shared" si="43"/>
        <v>0</v>
      </c>
      <c r="F86" s="14">
        <f t="shared" si="43"/>
        <v>0</v>
      </c>
      <c r="G86" s="14">
        <f t="shared" si="43"/>
        <v>0</v>
      </c>
      <c r="H86" s="14">
        <f t="shared" si="43"/>
        <v>0</v>
      </c>
      <c r="I86" s="14">
        <f t="shared" si="43"/>
        <v>0</v>
      </c>
      <c r="J86" s="14">
        <f t="shared" si="43"/>
        <v>0</v>
      </c>
      <c r="K86" s="14">
        <f t="shared" si="43"/>
        <v>0</v>
      </c>
      <c r="L86" s="14">
        <f t="shared" si="43"/>
        <v>0</v>
      </c>
      <c r="M86" s="14">
        <f t="shared" si="43"/>
        <v>0</v>
      </c>
      <c r="N86" s="14">
        <f t="shared" si="43"/>
        <v>0</v>
      </c>
      <c r="O86" s="14">
        <f t="shared" si="43"/>
        <v>0</v>
      </c>
      <c r="P86" s="14">
        <f t="shared" si="43"/>
        <v>0</v>
      </c>
      <c r="Q86" s="14">
        <f t="shared" si="43"/>
        <v>0</v>
      </c>
      <c r="R86" s="14">
        <f t="shared" si="43"/>
        <v>0</v>
      </c>
      <c r="S86" s="14">
        <f t="shared" si="43"/>
        <v>0</v>
      </c>
      <c r="T86" s="14">
        <f t="shared" si="43"/>
        <v>0</v>
      </c>
      <c r="U86" s="14">
        <f t="shared" si="43"/>
        <v>0.2021932372</v>
      </c>
      <c r="V86" s="14">
        <f t="shared" si="43"/>
        <v>0.1363444194</v>
      </c>
      <c r="W86" s="14">
        <f t="shared" si="43"/>
        <v>0.1352575063</v>
      </c>
      <c r="X86" s="14">
        <f t="shared" si="43"/>
        <v>0.3860977647</v>
      </c>
      <c r="Y86" s="14">
        <f t="shared" si="43"/>
        <v>0.4325022495</v>
      </c>
      <c r="Z86" s="14">
        <f t="shared" si="43"/>
        <v>0.4453188023</v>
      </c>
      <c r="AA86" s="14">
        <f t="shared" si="43"/>
        <v>0.3824221665</v>
      </c>
      <c r="AB86" s="14">
        <f t="shared" si="43"/>
        <v>0.5042577679</v>
      </c>
      <c r="AC86" s="14">
        <f t="shared" si="43"/>
        <v>0.5346539701</v>
      </c>
      <c r="AD86" s="14">
        <f t="shared" si="43"/>
        <v>0.644878701</v>
      </c>
      <c r="AE86" s="14">
        <f t="shared" si="43"/>
        <v>0.6780238222</v>
      </c>
      <c r="AF86" s="14">
        <f t="shared" si="43"/>
        <v>0.6925663452</v>
      </c>
      <c r="AG86" s="14">
        <f t="shared" si="43"/>
        <v>0.6900357301</v>
      </c>
      <c r="AH86" s="14">
        <f t="shared" si="43"/>
        <v>0.7283395632</v>
      </c>
      <c r="AI86" s="14">
        <f t="shared" si="43"/>
        <v>0.7468591234</v>
      </c>
      <c r="AJ86" s="14">
        <f t="shared" si="43"/>
        <v>0.7576729699</v>
      </c>
      <c r="AK86" s="14">
        <f t="shared" si="43"/>
        <v>0.7646917697</v>
      </c>
      <c r="AL86" s="14">
        <f t="shared" si="43"/>
        <v>0.7695644175</v>
      </c>
      <c r="AM86" s="14">
        <f t="shared" si="43"/>
        <v>0.7712681003</v>
      </c>
      <c r="AN86" s="14">
        <f t="shared" si="43"/>
        <v>0.7725926671</v>
      </c>
      <c r="AO86" s="14">
        <f t="shared" si="43"/>
        <v>0.7736349939</v>
      </c>
      <c r="AP86" s="14">
        <f t="shared" si="43"/>
        <v>0.7725552525</v>
      </c>
      <c r="AQ86" s="14">
        <f t="shared" si="43"/>
        <v>0.7716618745</v>
      </c>
      <c r="AR86" s="14">
        <f t="shared" si="43"/>
        <v>0.7709285236</v>
      </c>
      <c r="AS86" s="14">
        <f t="shared" si="43"/>
        <v>0.7699109456</v>
      </c>
      <c r="AT86" s="14">
        <f t="shared" si="43"/>
        <v>0.7570776447</v>
      </c>
      <c r="AU86" s="14">
        <f t="shared" si="43"/>
        <v>0.7412171021</v>
      </c>
      <c r="AV86" s="14">
        <f t="shared" si="43"/>
        <v>0.7209151019</v>
      </c>
      <c r="AW86" s="14">
        <f t="shared" si="43"/>
        <v>0.6960016858</v>
      </c>
      <c r="AX86" s="14">
        <f t="shared" si="43"/>
        <v>0.6657567388</v>
      </c>
      <c r="AY86" s="14"/>
    </row>
    <row r="87" ht="15.75" customHeight="1">
      <c r="B87" s="2" t="s">
        <v>142</v>
      </c>
      <c r="C87" s="8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ht="15.75" customHeight="1">
      <c r="C88" s="8"/>
      <c r="D88" s="8"/>
      <c r="E88" s="8"/>
      <c r="F88" s="8"/>
      <c r="G88" s="8"/>
      <c r="H88" s="8"/>
      <c r="I88" s="29" t="s">
        <v>143</v>
      </c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1"/>
    </row>
    <row r="89" ht="15.75" customHeight="1">
      <c r="C89" s="4">
        <v>2023.0</v>
      </c>
      <c r="D89" s="4">
        <v>2023.0</v>
      </c>
      <c r="E89" s="32">
        <v>2024.0</v>
      </c>
      <c r="F89" s="32">
        <v>2024.0</v>
      </c>
      <c r="G89" s="32">
        <v>2024.0</v>
      </c>
      <c r="H89" s="32">
        <v>2024.0</v>
      </c>
      <c r="I89" s="33">
        <v>2025.0</v>
      </c>
      <c r="J89" s="33">
        <v>2025.0</v>
      </c>
      <c r="K89" s="33">
        <v>2025.0</v>
      </c>
      <c r="L89" s="33">
        <v>2025.0</v>
      </c>
      <c r="M89" s="34">
        <v>2026.0</v>
      </c>
      <c r="N89" s="34">
        <v>2026.0</v>
      </c>
    </row>
    <row r="90" ht="15.75" customHeight="1">
      <c r="C90" s="4" t="s">
        <v>69</v>
      </c>
      <c r="D90" s="4" t="s">
        <v>70</v>
      </c>
      <c r="E90" s="32" t="s">
        <v>67</v>
      </c>
      <c r="F90" s="32" t="s">
        <v>68</v>
      </c>
      <c r="G90" s="32" t="s">
        <v>69</v>
      </c>
      <c r="H90" s="32" t="s">
        <v>70</v>
      </c>
      <c r="I90" s="33" t="s">
        <v>67</v>
      </c>
      <c r="J90" s="33" t="s">
        <v>68</v>
      </c>
      <c r="K90" s="33" t="s">
        <v>69</v>
      </c>
      <c r="L90" s="33" t="s">
        <v>70</v>
      </c>
      <c r="M90" s="34" t="s">
        <v>67</v>
      </c>
      <c r="N90" s="34" t="s">
        <v>68</v>
      </c>
    </row>
    <row r="91" ht="15.75" customHeight="1">
      <c r="B91" s="2" t="s">
        <v>144</v>
      </c>
      <c r="C91" s="35"/>
      <c r="D91" s="35"/>
      <c r="E91" s="35"/>
      <c r="F91" s="8"/>
      <c r="G91" s="8"/>
      <c r="H91" s="8"/>
      <c r="I91" s="8"/>
      <c r="J91" s="8"/>
      <c r="K91" s="8"/>
      <c r="L91" s="8"/>
      <c r="M91" s="8"/>
      <c r="N91" s="8"/>
    </row>
    <row r="92" ht="15.75" customHeight="1">
      <c r="B92" s="2" t="s">
        <v>145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ht="15.75" customHeight="1">
      <c r="B93" s="36" t="s">
        <v>146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ht="15.75" customHeight="1">
      <c r="B94" s="7" t="s">
        <v>147</v>
      </c>
      <c r="C94" s="34"/>
      <c r="D94" s="34"/>
      <c r="E94" s="34"/>
      <c r="F94" s="34">
        <v>3000.0</v>
      </c>
      <c r="G94" s="34">
        <f t="shared" ref="G94:N94" si="44">F118*G121</f>
        <v>8294</v>
      </c>
      <c r="H94" s="34">
        <f t="shared" si="44"/>
        <v>14250.6</v>
      </c>
      <c r="I94" s="34">
        <f t="shared" si="44"/>
        <v>20358</v>
      </c>
      <c r="J94" s="34">
        <f t="shared" si="44"/>
        <v>8091</v>
      </c>
      <c r="K94" s="34">
        <f t="shared" si="44"/>
        <v>19653.3</v>
      </c>
      <c r="L94" s="34">
        <f t="shared" si="44"/>
        <v>24460.92</v>
      </c>
      <c r="M94" s="34">
        <f t="shared" si="44"/>
        <v>29179.8</v>
      </c>
      <c r="N94" s="34">
        <f t="shared" si="44"/>
        <v>37236</v>
      </c>
    </row>
    <row r="95" ht="15.75" customHeight="1">
      <c r="A95" s="2" t="s">
        <v>148</v>
      </c>
      <c r="B95" s="7" t="s">
        <v>149</v>
      </c>
      <c r="C95" s="34"/>
      <c r="D95" s="34"/>
      <c r="E95" s="34"/>
      <c r="F95" s="37">
        <v>0.8</v>
      </c>
      <c r="G95" s="37">
        <v>0.8</v>
      </c>
      <c r="H95" s="37">
        <v>0.8</v>
      </c>
      <c r="I95" s="37">
        <v>0.8</v>
      </c>
      <c r="J95" s="37">
        <v>0.8</v>
      </c>
      <c r="K95" s="37">
        <v>0.8</v>
      </c>
      <c r="L95" s="37">
        <v>0.8</v>
      </c>
      <c r="M95" s="37">
        <v>0.8</v>
      </c>
      <c r="N95" s="37">
        <v>0.8</v>
      </c>
    </row>
    <row r="96" ht="15.75" customHeight="1">
      <c r="B96" s="7" t="s">
        <v>150</v>
      </c>
      <c r="C96" s="34"/>
      <c r="D96" s="34"/>
      <c r="E96" s="34"/>
      <c r="F96" s="34">
        <f t="shared" ref="F96:N96" si="45">(F94/F95)*1000</f>
        <v>3750000</v>
      </c>
      <c r="G96" s="34">
        <f t="shared" si="45"/>
        <v>10367500</v>
      </c>
      <c r="H96" s="34">
        <f t="shared" si="45"/>
        <v>17813250</v>
      </c>
      <c r="I96" s="34">
        <f t="shared" si="45"/>
        <v>25447500</v>
      </c>
      <c r="J96" s="34">
        <f t="shared" si="45"/>
        <v>10113750</v>
      </c>
      <c r="K96" s="34">
        <f t="shared" si="45"/>
        <v>24566625</v>
      </c>
      <c r="L96" s="34">
        <f t="shared" si="45"/>
        <v>30576150</v>
      </c>
      <c r="M96" s="34">
        <f t="shared" si="45"/>
        <v>36474750</v>
      </c>
      <c r="N96" s="34">
        <f t="shared" si="45"/>
        <v>46545000</v>
      </c>
    </row>
    <row r="97" ht="15.75" customHeight="1">
      <c r="B97" s="7" t="s">
        <v>84</v>
      </c>
      <c r="C97" s="34"/>
      <c r="D97" s="34"/>
      <c r="E97" s="34"/>
      <c r="F97" s="38">
        <v>0.022</v>
      </c>
      <c r="G97" s="38">
        <v>0.022</v>
      </c>
      <c r="H97" s="38">
        <v>0.022</v>
      </c>
      <c r="I97" s="38">
        <v>0.022</v>
      </c>
      <c r="J97" s="38">
        <v>0.022</v>
      </c>
      <c r="K97" s="38">
        <v>0.022</v>
      </c>
      <c r="L97" s="38">
        <v>0.022</v>
      </c>
      <c r="M97" s="38">
        <v>0.022</v>
      </c>
      <c r="N97" s="38">
        <v>0.022</v>
      </c>
    </row>
    <row r="98" ht="15.75" customHeight="1">
      <c r="B98" s="7" t="s">
        <v>85</v>
      </c>
      <c r="C98" s="34"/>
      <c r="D98" s="34"/>
      <c r="E98" s="34"/>
      <c r="F98" s="34">
        <f t="shared" ref="F98:N98" si="46">F94/F99</f>
        <v>75000</v>
      </c>
      <c r="G98" s="34">
        <f t="shared" si="46"/>
        <v>207350</v>
      </c>
      <c r="H98" s="34">
        <f t="shared" si="46"/>
        <v>356265</v>
      </c>
      <c r="I98" s="34">
        <f t="shared" si="46"/>
        <v>508950</v>
      </c>
      <c r="J98" s="34">
        <f t="shared" si="46"/>
        <v>202275</v>
      </c>
      <c r="K98" s="34">
        <f t="shared" si="46"/>
        <v>491332.5</v>
      </c>
      <c r="L98" s="34">
        <f t="shared" si="46"/>
        <v>611523</v>
      </c>
      <c r="M98" s="34">
        <f t="shared" si="46"/>
        <v>729495</v>
      </c>
      <c r="N98" s="34">
        <f t="shared" si="46"/>
        <v>930900</v>
      </c>
    </row>
    <row r="99" ht="15.75" customHeight="1">
      <c r="B99" s="7" t="s">
        <v>151</v>
      </c>
      <c r="C99" s="34"/>
      <c r="D99" s="34"/>
      <c r="E99" s="34"/>
      <c r="F99" s="37">
        <v>0.04</v>
      </c>
      <c r="G99" s="37">
        <v>0.04</v>
      </c>
      <c r="H99" s="37">
        <v>0.04</v>
      </c>
      <c r="I99" s="37">
        <v>0.04</v>
      </c>
      <c r="J99" s="37">
        <v>0.04</v>
      </c>
      <c r="K99" s="37">
        <v>0.04</v>
      </c>
      <c r="L99" s="37">
        <v>0.04</v>
      </c>
      <c r="M99" s="37">
        <v>0.04</v>
      </c>
      <c r="N99" s="37">
        <v>0.04</v>
      </c>
    </row>
    <row r="100" ht="15.75" customHeight="1">
      <c r="B100" s="7" t="s">
        <v>152</v>
      </c>
      <c r="C100" s="34"/>
      <c r="D100" s="34"/>
      <c r="E100" s="34"/>
      <c r="F100" s="39">
        <v>0.15</v>
      </c>
      <c r="G100" s="39">
        <v>0.15</v>
      </c>
      <c r="H100" s="39">
        <v>0.15</v>
      </c>
      <c r="I100" s="39">
        <v>0.15</v>
      </c>
      <c r="J100" s="39">
        <v>0.15</v>
      </c>
      <c r="K100" s="39">
        <v>0.15</v>
      </c>
      <c r="L100" s="39">
        <v>0.15</v>
      </c>
      <c r="M100" s="39">
        <v>0.15</v>
      </c>
      <c r="N100" s="39">
        <v>0.15</v>
      </c>
    </row>
    <row r="101" ht="15.75" customHeight="1">
      <c r="B101" s="7" t="s">
        <v>153</v>
      </c>
      <c r="C101" s="34"/>
      <c r="D101" s="34"/>
      <c r="E101" s="34"/>
      <c r="F101" s="34">
        <f t="shared" ref="F101:N101" si="47">F103*F108</f>
        <v>146.25</v>
      </c>
      <c r="G101" s="34">
        <f t="shared" si="47"/>
        <v>404.3325</v>
      </c>
      <c r="H101" s="34">
        <f t="shared" si="47"/>
        <v>801.59625</v>
      </c>
      <c r="I101" s="34">
        <f t="shared" si="47"/>
        <v>1145.1375</v>
      </c>
      <c r="J101" s="34">
        <f t="shared" si="47"/>
        <v>697.84875</v>
      </c>
      <c r="K101" s="34">
        <f t="shared" si="47"/>
        <v>1695.097125</v>
      </c>
      <c r="L101" s="34">
        <f t="shared" si="47"/>
        <v>2384.9397</v>
      </c>
      <c r="M101" s="34">
        <f t="shared" si="47"/>
        <v>2845.0305</v>
      </c>
      <c r="N101" s="34">
        <f t="shared" si="47"/>
        <v>3630.51</v>
      </c>
    </row>
    <row r="102" ht="15.75" customHeight="1">
      <c r="B102" s="7" t="s">
        <v>154</v>
      </c>
      <c r="C102" s="34"/>
      <c r="D102" s="34"/>
      <c r="E102" s="34"/>
      <c r="F102" s="37">
        <f t="shared" ref="F102:N102" si="48">F94/F101</f>
        <v>20.51282051</v>
      </c>
      <c r="G102" s="37">
        <f t="shared" si="48"/>
        <v>20.51282051</v>
      </c>
      <c r="H102" s="37">
        <f t="shared" si="48"/>
        <v>17.77777778</v>
      </c>
      <c r="I102" s="37">
        <f t="shared" si="48"/>
        <v>17.77777778</v>
      </c>
      <c r="J102" s="37">
        <f t="shared" si="48"/>
        <v>11.5942029</v>
      </c>
      <c r="K102" s="37">
        <f t="shared" si="48"/>
        <v>11.5942029</v>
      </c>
      <c r="L102" s="37">
        <f t="shared" si="48"/>
        <v>10.25641026</v>
      </c>
      <c r="M102" s="37">
        <f t="shared" si="48"/>
        <v>10.25641026</v>
      </c>
      <c r="N102" s="37">
        <f t="shared" si="48"/>
        <v>10.25641026</v>
      </c>
    </row>
    <row r="103" ht="15.75" customHeight="1">
      <c r="B103" s="7" t="s">
        <v>155</v>
      </c>
      <c r="C103" s="34"/>
      <c r="D103" s="34"/>
      <c r="E103" s="34"/>
      <c r="F103" s="34">
        <f t="shared" ref="F103:N103" si="49">F98*F100</f>
        <v>11250</v>
      </c>
      <c r="G103" s="34">
        <f t="shared" si="49"/>
        <v>31102.5</v>
      </c>
      <c r="H103" s="34">
        <f t="shared" si="49"/>
        <v>53439.75</v>
      </c>
      <c r="I103" s="34">
        <f t="shared" si="49"/>
        <v>76342.5</v>
      </c>
      <c r="J103" s="34">
        <f t="shared" si="49"/>
        <v>30341.25</v>
      </c>
      <c r="K103" s="34">
        <f t="shared" si="49"/>
        <v>73699.875</v>
      </c>
      <c r="L103" s="34">
        <f t="shared" si="49"/>
        <v>91728.45</v>
      </c>
      <c r="M103" s="34">
        <f t="shared" si="49"/>
        <v>109424.25</v>
      </c>
      <c r="N103" s="34">
        <f t="shared" si="49"/>
        <v>139635</v>
      </c>
    </row>
    <row r="104" ht="15.75" customHeight="1">
      <c r="B104" s="36" t="s">
        <v>156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ht="15.75" customHeight="1">
      <c r="B105" s="2" t="s">
        <v>157</v>
      </c>
      <c r="C105" s="8"/>
      <c r="D105" s="8"/>
      <c r="E105" s="8"/>
      <c r="F105" s="8">
        <v>20000.0</v>
      </c>
      <c r="G105" s="8">
        <v>40000.0</v>
      </c>
      <c r="H105" s="8">
        <v>50000.0</v>
      </c>
      <c r="I105" s="8">
        <v>50000.0</v>
      </c>
      <c r="J105" s="8">
        <v>80000.0</v>
      </c>
      <c r="K105" s="8">
        <v>90000.0</v>
      </c>
      <c r="L105" s="8">
        <v>90000.0</v>
      </c>
      <c r="M105" s="8">
        <v>110000.0</v>
      </c>
      <c r="N105" s="8">
        <v>110000.0</v>
      </c>
    </row>
    <row r="106" ht="15.75" customHeight="1">
      <c r="B106" s="2" t="s">
        <v>158</v>
      </c>
      <c r="C106" s="8"/>
      <c r="D106" s="8"/>
      <c r="E106" s="8"/>
      <c r="F106" s="8">
        <v>2000.0</v>
      </c>
      <c r="G106" s="8">
        <v>2000.0</v>
      </c>
      <c r="H106" s="8">
        <v>2000.0</v>
      </c>
      <c r="I106" s="8">
        <v>12000.0</v>
      </c>
      <c r="J106" s="8">
        <v>12000.0</v>
      </c>
      <c r="K106" s="8">
        <v>18000.0</v>
      </c>
      <c r="L106" s="8">
        <v>18000.0</v>
      </c>
      <c r="M106" s="8">
        <v>26000.0</v>
      </c>
      <c r="N106" s="8">
        <v>26000.0</v>
      </c>
    </row>
    <row r="107" ht="15.75" customHeight="1">
      <c r="B107" s="2" t="s">
        <v>159</v>
      </c>
      <c r="C107" s="8"/>
      <c r="D107" s="8"/>
      <c r="E107" s="8"/>
      <c r="F107" s="8">
        <f t="shared" ref="F107:N107" si="50">SUM(F105:F106)</f>
        <v>22000</v>
      </c>
      <c r="G107" s="8">
        <f t="shared" si="50"/>
        <v>42000</v>
      </c>
      <c r="H107" s="8">
        <f t="shared" si="50"/>
        <v>52000</v>
      </c>
      <c r="I107" s="8">
        <f t="shared" si="50"/>
        <v>62000</v>
      </c>
      <c r="J107" s="8">
        <f t="shared" si="50"/>
        <v>92000</v>
      </c>
      <c r="K107" s="8">
        <f t="shared" si="50"/>
        <v>108000</v>
      </c>
      <c r="L107" s="8">
        <f t="shared" si="50"/>
        <v>108000</v>
      </c>
      <c r="M107" s="8">
        <f t="shared" si="50"/>
        <v>136000</v>
      </c>
      <c r="N107" s="8">
        <f t="shared" si="50"/>
        <v>136000</v>
      </c>
      <c r="O107" s="8"/>
    </row>
    <row r="108" ht="15.75" customHeight="1">
      <c r="B108" s="2" t="s">
        <v>160</v>
      </c>
      <c r="C108" s="8"/>
      <c r="D108" s="8"/>
      <c r="E108" s="8"/>
      <c r="F108" s="15">
        <v>0.013</v>
      </c>
      <c r="G108" s="15">
        <v>0.013</v>
      </c>
      <c r="H108" s="15">
        <v>0.015</v>
      </c>
      <c r="I108" s="15">
        <v>0.015</v>
      </c>
      <c r="J108" s="15">
        <v>0.023</v>
      </c>
      <c r="K108" s="15">
        <v>0.023</v>
      </c>
      <c r="L108" s="15">
        <v>0.026</v>
      </c>
      <c r="M108" s="15">
        <v>0.026</v>
      </c>
      <c r="N108" s="15">
        <v>0.026</v>
      </c>
    </row>
    <row r="109" ht="15.75" customHeight="1">
      <c r="B109" s="2" t="s">
        <v>161</v>
      </c>
      <c r="C109" s="8"/>
      <c r="D109" s="8"/>
      <c r="E109" s="8"/>
      <c r="F109" s="8">
        <f t="shared" ref="F109:N109" si="51">F107*F108</f>
        <v>286</v>
      </c>
      <c r="G109" s="8">
        <f t="shared" si="51"/>
        <v>546</v>
      </c>
      <c r="H109" s="8">
        <f t="shared" si="51"/>
        <v>780</v>
      </c>
      <c r="I109" s="8">
        <f t="shared" si="51"/>
        <v>930</v>
      </c>
      <c r="J109" s="8">
        <f t="shared" si="51"/>
        <v>2116</v>
      </c>
      <c r="K109" s="8">
        <f t="shared" si="51"/>
        <v>2484</v>
      </c>
      <c r="L109" s="8">
        <f t="shared" si="51"/>
        <v>2808</v>
      </c>
      <c r="M109" s="8">
        <f t="shared" si="51"/>
        <v>3536</v>
      </c>
      <c r="N109" s="8">
        <f t="shared" si="51"/>
        <v>3536</v>
      </c>
    </row>
    <row r="110" ht="15.75" customHeight="1">
      <c r="B110" s="2" t="s">
        <v>162</v>
      </c>
      <c r="C110" s="8"/>
      <c r="D110" s="8"/>
      <c r="E110" s="8"/>
      <c r="F110" s="8"/>
      <c r="G110" s="8"/>
      <c r="H110" s="8"/>
      <c r="I110" s="8"/>
      <c r="J110" s="8">
        <f t="shared" ref="J110:N110" si="52">F109*J113</f>
        <v>143</v>
      </c>
      <c r="K110" s="8">
        <f t="shared" si="52"/>
        <v>327.6</v>
      </c>
      <c r="L110" s="8">
        <f t="shared" si="52"/>
        <v>546</v>
      </c>
      <c r="M110" s="8">
        <f t="shared" si="52"/>
        <v>744</v>
      </c>
      <c r="N110" s="8">
        <f t="shared" si="52"/>
        <v>1692.8</v>
      </c>
    </row>
    <row r="111" ht="15.75" customHeight="1">
      <c r="B111" s="2" t="s">
        <v>163</v>
      </c>
      <c r="C111" s="8"/>
      <c r="D111" s="8" t="s">
        <v>164</v>
      </c>
      <c r="E111" s="8"/>
      <c r="F111" s="8">
        <f t="shared" ref="F111:N111" si="53">SUM(F109:F110)</f>
        <v>286</v>
      </c>
      <c r="G111" s="8">
        <f t="shared" si="53"/>
        <v>546</v>
      </c>
      <c r="H111" s="8">
        <f t="shared" si="53"/>
        <v>780</v>
      </c>
      <c r="I111" s="8">
        <f t="shared" si="53"/>
        <v>930</v>
      </c>
      <c r="J111" s="8">
        <f t="shared" si="53"/>
        <v>2259</v>
      </c>
      <c r="K111" s="8">
        <f t="shared" si="53"/>
        <v>2811.6</v>
      </c>
      <c r="L111" s="8">
        <f t="shared" si="53"/>
        <v>3354</v>
      </c>
      <c r="M111" s="8">
        <f t="shared" si="53"/>
        <v>4280</v>
      </c>
      <c r="N111" s="8">
        <f t="shared" si="53"/>
        <v>5228.8</v>
      </c>
    </row>
    <row r="112" ht="15.75" customHeight="1">
      <c r="B112" s="36" t="s">
        <v>165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ht="15.75" customHeight="1">
      <c r="B113" s="40" t="s">
        <v>166</v>
      </c>
      <c r="C113" s="8"/>
      <c r="D113" s="8"/>
      <c r="E113" s="8"/>
      <c r="F113" s="14"/>
      <c r="G113" s="14"/>
      <c r="H113" s="14"/>
      <c r="I113" s="14"/>
      <c r="J113" s="14">
        <v>0.5</v>
      </c>
      <c r="K113" s="14">
        <v>0.6</v>
      </c>
      <c r="L113" s="14">
        <v>0.7</v>
      </c>
      <c r="M113" s="14">
        <v>0.8</v>
      </c>
      <c r="N113" s="14">
        <v>0.8</v>
      </c>
    </row>
    <row r="114" ht="15.75" customHeight="1">
      <c r="B114" s="2" t="s">
        <v>167</v>
      </c>
      <c r="C114" s="8"/>
      <c r="D114" s="8"/>
      <c r="E114" s="8"/>
      <c r="F114" s="8">
        <f t="shared" ref="F114:I114" si="54">E114+F111</f>
        <v>286</v>
      </c>
      <c r="G114" s="8">
        <f t="shared" si="54"/>
        <v>832</v>
      </c>
      <c r="H114" s="8">
        <f t="shared" si="54"/>
        <v>1612</v>
      </c>
      <c r="I114" s="8">
        <f t="shared" si="54"/>
        <v>2542</v>
      </c>
      <c r="J114" s="8">
        <f t="shared" ref="J114:N114" si="55">(I114-F111)+J111</f>
        <v>4515</v>
      </c>
      <c r="K114" s="8">
        <f t="shared" si="55"/>
        <v>6780.6</v>
      </c>
      <c r="L114" s="8">
        <f t="shared" si="55"/>
        <v>9354.6</v>
      </c>
      <c r="M114" s="8">
        <f t="shared" si="55"/>
        <v>12704.6</v>
      </c>
      <c r="N114" s="8">
        <f t="shared" si="55"/>
        <v>15674.4</v>
      </c>
    </row>
    <row r="115" ht="15.75" customHeight="1">
      <c r="B115" s="36" t="s">
        <v>168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ht="15.75" customHeight="1">
      <c r="B116" s="2" t="s">
        <v>169</v>
      </c>
      <c r="C116" s="8"/>
      <c r="D116" s="8"/>
      <c r="E116" s="8"/>
      <c r="F116" s="8">
        <v>29.0</v>
      </c>
      <c r="G116" s="8">
        <v>29.0</v>
      </c>
      <c r="H116" s="8">
        <v>29.0</v>
      </c>
      <c r="I116" s="8">
        <v>29.0</v>
      </c>
      <c r="J116" s="8">
        <v>29.0</v>
      </c>
      <c r="K116" s="8">
        <v>29.0</v>
      </c>
      <c r="L116" s="8">
        <v>29.0</v>
      </c>
      <c r="M116" s="8">
        <v>29.0</v>
      </c>
      <c r="N116" s="8">
        <v>29.0</v>
      </c>
    </row>
    <row r="117" ht="15.75" customHeight="1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ht="15.75" customHeight="1">
      <c r="B118" s="40" t="s">
        <v>170</v>
      </c>
      <c r="C118" s="8"/>
      <c r="D118" s="8"/>
      <c r="E118" s="8"/>
      <c r="F118" s="8">
        <f t="shared" ref="F118:N118" si="56">F111*F116</f>
        <v>8294</v>
      </c>
      <c r="G118" s="8">
        <f t="shared" si="56"/>
        <v>15834</v>
      </c>
      <c r="H118" s="8">
        <f t="shared" si="56"/>
        <v>22620</v>
      </c>
      <c r="I118" s="8">
        <f t="shared" si="56"/>
        <v>26970</v>
      </c>
      <c r="J118" s="8">
        <f t="shared" si="56"/>
        <v>65511</v>
      </c>
      <c r="K118" s="8">
        <f t="shared" si="56"/>
        <v>81536.4</v>
      </c>
      <c r="L118" s="8">
        <f t="shared" si="56"/>
        <v>97266</v>
      </c>
      <c r="M118" s="8">
        <f t="shared" si="56"/>
        <v>124120</v>
      </c>
      <c r="N118" s="8">
        <f t="shared" si="56"/>
        <v>151635.2</v>
      </c>
    </row>
    <row r="119" ht="15.75" customHeight="1">
      <c r="B119" s="2" t="s">
        <v>171</v>
      </c>
      <c r="C119" s="8"/>
      <c r="D119" s="8"/>
      <c r="E119" s="8"/>
      <c r="F119" s="8">
        <v>50000.0</v>
      </c>
      <c r="G119" s="8"/>
      <c r="H119" s="8">
        <v>60000.0</v>
      </c>
      <c r="I119" s="8"/>
      <c r="J119" s="8"/>
      <c r="K119" s="8"/>
      <c r="L119" s="8"/>
      <c r="M119" s="8"/>
      <c r="N119" s="8"/>
    </row>
    <row r="120" ht="15.75" customHeight="1">
      <c r="B120" s="36" t="s">
        <v>172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ht="15.75" customHeight="1">
      <c r="B121" s="2" t="s">
        <v>173</v>
      </c>
      <c r="C121" s="8"/>
      <c r="D121" s="8"/>
      <c r="E121" s="8"/>
      <c r="F121" s="14">
        <v>1.1</v>
      </c>
      <c r="G121" s="14">
        <v>1.0</v>
      </c>
      <c r="H121" s="14">
        <v>0.9</v>
      </c>
      <c r="I121" s="14">
        <v>0.9</v>
      </c>
      <c r="J121" s="14">
        <v>0.3</v>
      </c>
      <c r="K121" s="14">
        <v>0.3</v>
      </c>
      <c r="L121" s="14">
        <v>0.3</v>
      </c>
      <c r="M121" s="14">
        <v>0.3</v>
      </c>
      <c r="N121" s="14">
        <v>0.3</v>
      </c>
    </row>
    <row r="122" ht="15.75" customHeight="1">
      <c r="B122" s="2" t="s">
        <v>174</v>
      </c>
      <c r="C122" s="8"/>
      <c r="D122" s="8"/>
      <c r="E122" s="8"/>
      <c r="F122" s="15">
        <v>0.035</v>
      </c>
      <c r="G122" s="15">
        <v>0.035</v>
      </c>
      <c r="H122" s="15">
        <v>0.035</v>
      </c>
      <c r="I122" s="15">
        <v>0.035</v>
      </c>
      <c r="J122" s="15">
        <v>0.035</v>
      </c>
      <c r="K122" s="15">
        <v>0.035</v>
      </c>
      <c r="L122" s="15">
        <v>0.035</v>
      </c>
      <c r="M122" s="15">
        <v>0.035</v>
      </c>
      <c r="N122" s="15">
        <v>0.035</v>
      </c>
    </row>
    <row r="123" ht="15.75" customHeight="1">
      <c r="B123" s="2" t="s">
        <v>111</v>
      </c>
      <c r="C123" s="8"/>
      <c r="D123" s="8"/>
      <c r="E123" s="8"/>
      <c r="F123" s="8">
        <f t="shared" ref="F123:H123" si="57">7200*3</f>
        <v>21600</v>
      </c>
      <c r="G123" s="8">
        <f t="shared" si="57"/>
        <v>21600</v>
      </c>
      <c r="H123" s="8">
        <f t="shared" si="57"/>
        <v>21600</v>
      </c>
      <c r="I123" s="8">
        <f t="shared" ref="I123:K123" si="58">10200*3</f>
        <v>30600</v>
      </c>
      <c r="J123" s="8">
        <f t="shared" si="58"/>
        <v>30600</v>
      </c>
      <c r="K123" s="8">
        <f t="shared" si="58"/>
        <v>30600</v>
      </c>
      <c r="L123" s="8">
        <f t="shared" ref="L123:N123" si="59">12200*3</f>
        <v>36600</v>
      </c>
      <c r="M123" s="8">
        <f t="shared" si="59"/>
        <v>36600</v>
      </c>
      <c r="N123" s="8">
        <f t="shared" si="59"/>
        <v>36600</v>
      </c>
    </row>
    <row r="124" ht="15.75" customHeight="1">
      <c r="B124" s="2" t="s">
        <v>175</v>
      </c>
      <c r="C124" s="8"/>
      <c r="D124" s="8"/>
      <c r="E124" s="8"/>
      <c r="F124" s="14">
        <v>0.15</v>
      </c>
      <c r="G124" s="14">
        <v>0.15</v>
      </c>
      <c r="H124" s="14">
        <v>0.15</v>
      </c>
      <c r="I124" s="14">
        <v>0.15</v>
      </c>
      <c r="J124" s="14">
        <v>0.15</v>
      </c>
      <c r="K124" s="14">
        <v>0.15</v>
      </c>
      <c r="L124" s="14">
        <v>0.15</v>
      </c>
      <c r="M124" s="14">
        <v>0.15</v>
      </c>
      <c r="N124" s="14">
        <v>0.15</v>
      </c>
    </row>
    <row r="125" ht="15.75" customHeight="1">
      <c r="B125" s="2" t="s">
        <v>129</v>
      </c>
      <c r="C125" s="8"/>
      <c r="D125" s="8"/>
      <c r="E125" s="8"/>
      <c r="F125" s="8">
        <f t="shared" ref="F125:N125" si="60">F118*F124</f>
        <v>1244.1</v>
      </c>
      <c r="G125" s="8">
        <f t="shared" si="60"/>
        <v>2375.1</v>
      </c>
      <c r="H125" s="8">
        <f t="shared" si="60"/>
        <v>3393</v>
      </c>
      <c r="I125" s="8">
        <f t="shared" si="60"/>
        <v>4045.5</v>
      </c>
      <c r="J125" s="8">
        <f t="shared" si="60"/>
        <v>9826.65</v>
      </c>
      <c r="K125" s="8">
        <f t="shared" si="60"/>
        <v>12230.46</v>
      </c>
      <c r="L125" s="8">
        <f t="shared" si="60"/>
        <v>14589.9</v>
      </c>
      <c r="M125" s="8">
        <f t="shared" si="60"/>
        <v>18618</v>
      </c>
      <c r="N125" s="8">
        <f t="shared" si="60"/>
        <v>22745.28</v>
      </c>
    </row>
    <row r="126" ht="15.75" customHeight="1">
      <c r="B126" s="2" t="s">
        <v>176</v>
      </c>
      <c r="C126" s="8"/>
      <c r="D126" s="8"/>
      <c r="E126" s="8"/>
      <c r="F126" s="8">
        <f t="shared" ref="F126:N126" si="61">(F118*(F121+F122+F124))+F123</f>
        <v>32257.79</v>
      </c>
      <c r="G126" s="8">
        <f t="shared" si="61"/>
        <v>40363.29</v>
      </c>
      <c r="H126" s="8">
        <f t="shared" si="61"/>
        <v>46142.7</v>
      </c>
      <c r="I126" s="8">
        <f t="shared" si="61"/>
        <v>59862.45</v>
      </c>
      <c r="J126" s="8">
        <f t="shared" si="61"/>
        <v>62372.835</v>
      </c>
      <c r="K126" s="8">
        <f t="shared" si="61"/>
        <v>70145.154</v>
      </c>
      <c r="L126" s="8">
        <f t="shared" si="61"/>
        <v>83774.01</v>
      </c>
      <c r="M126" s="8">
        <f t="shared" si="61"/>
        <v>96798.2</v>
      </c>
      <c r="N126" s="8">
        <f t="shared" si="61"/>
        <v>110143.072</v>
      </c>
    </row>
    <row r="127" ht="15.75" customHeight="1">
      <c r="B127" s="2" t="s">
        <v>177</v>
      </c>
      <c r="C127" s="8"/>
      <c r="D127" s="8"/>
      <c r="E127" s="8"/>
      <c r="F127" s="8">
        <f>F118+F119-F126</f>
        <v>26036.21</v>
      </c>
      <c r="G127" s="8">
        <f t="shared" ref="G127:N127" si="62">G118+G119-G126+F127</f>
        <v>1506.92</v>
      </c>
      <c r="H127" s="8">
        <f t="shared" si="62"/>
        <v>37984.22</v>
      </c>
      <c r="I127" s="8">
        <f t="shared" si="62"/>
        <v>5091.77</v>
      </c>
      <c r="J127" s="8">
        <f t="shared" si="62"/>
        <v>8229.935</v>
      </c>
      <c r="K127" s="8">
        <f t="shared" si="62"/>
        <v>19621.181</v>
      </c>
      <c r="L127" s="8">
        <f t="shared" si="62"/>
        <v>33113.171</v>
      </c>
      <c r="M127" s="8">
        <f t="shared" si="62"/>
        <v>60434.971</v>
      </c>
      <c r="N127" s="8">
        <f t="shared" si="62"/>
        <v>101927.099</v>
      </c>
    </row>
    <row r="128" ht="15.75" customHeight="1">
      <c r="B128" s="2" t="s">
        <v>178</v>
      </c>
      <c r="C128" s="8"/>
      <c r="D128" s="8"/>
      <c r="E128" s="8"/>
      <c r="F128" s="8">
        <f t="shared" ref="F128:N128" si="63">F118-F126</f>
        <v>-23963.79</v>
      </c>
      <c r="G128" s="8">
        <f t="shared" si="63"/>
        <v>-24529.29</v>
      </c>
      <c r="H128" s="8">
        <f t="shared" si="63"/>
        <v>-23522.7</v>
      </c>
      <c r="I128" s="8">
        <f t="shared" si="63"/>
        <v>-32892.45</v>
      </c>
      <c r="J128" s="8">
        <f t="shared" si="63"/>
        <v>3138.165</v>
      </c>
      <c r="K128" s="8">
        <f t="shared" si="63"/>
        <v>11391.246</v>
      </c>
      <c r="L128" s="8">
        <f t="shared" si="63"/>
        <v>13491.99</v>
      </c>
      <c r="M128" s="8">
        <f t="shared" si="63"/>
        <v>27321.8</v>
      </c>
      <c r="N128" s="8">
        <f t="shared" si="63"/>
        <v>41492.128</v>
      </c>
      <c r="O128" s="8"/>
    </row>
    <row r="129" ht="15.75" customHeight="1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ht="15.75" customHeight="1"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ht="15.75" customHeight="1"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ht="15.75" customHeight="1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ht="15.75" customHeight="1"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ht="15.75" customHeight="1"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ht="15.75" customHeight="1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ht="15.75" customHeight="1"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ht="15.75" customHeight="1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ht="15.75" customHeight="1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ht="15.75" customHeight="1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ht="15.75" customHeight="1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ht="15.75" customHeight="1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ht="15.75" customHeight="1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ht="15.75" customHeight="1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ht="15.75" customHeight="1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ht="15.75" customHeight="1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ht="15.75" customHeight="1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ht="15.75" customHeight="1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ht="15.75" customHeight="1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ht="15.75" customHeight="1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ht="15.75" customHeight="1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ht="15.75" customHeight="1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ht="15.75" customHeight="1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ht="15.75" customHeight="1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ht="15.75" customHeight="1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ht="15.75" customHeight="1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ht="15.75" customHeight="1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W156" s="20">
        <f>44606</f>
        <v>44606</v>
      </c>
    </row>
    <row r="157" ht="15.75" customHeight="1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W157" s="20">
        <f>W156-SUM(W158:W169)</f>
        <v>3175</v>
      </c>
    </row>
    <row r="158" ht="15.75" customHeight="1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W158" s="20">
        <v>1641.0</v>
      </c>
    </row>
    <row r="159" ht="15.75" customHeight="1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W159" s="20">
        <v>35100.0</v>
      </c>
    </row>
    <row r="160" ht="15.75" customHeight="1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W160" s="20">
        <v>4690.0</v>
      </c>
    </row>
    <row r="161" ht="15.75" customHeight="1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ht="15.75" customHeight="1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ht="15.75" customHeight="1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ht="15.75" customHeight="1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ht="15.75" customHeight="1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ht="15.75" customHeight="1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ht="15.75" customHeight="1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ht="15.75" customHeight="1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ht="15.75" customHeight="1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ht="15.75" customHeight="1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ht="15.75" customHeight="1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ht="15.75" customHeight="1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ht="15.75" customHeight="1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ht="15.75" customHeight="1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ht="15.75" customHeight="1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ht="15.75" customHeight="1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ht="15.75" customHeight="1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ht="15.75" customHeight="1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ht="15.75" customHeight="1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ht="15.75" customHeight="1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ht="15.75" customHeight="1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ht="15.75" customHeight="1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ht="15.75" customHeight="1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ht="15.75" customHeight="1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ht="15.75" customHeight="1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ht="15.75" customHeight="1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ht="15.75" customHeight="1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ht="15.75" customHeight="1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ht="15.75" customHeight="1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ht="15.75" customHeight="1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ht="15.75" customHeight="1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ht="15.75" customHeight="1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ht="15.75" customHeight="1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ht="15.75" customHeight="1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ht="15.75" customHeight="1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ht="15.75" customHeight="1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ht="15.75" customHeight="1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ht="15.75" customHeight="1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ht="15.75" customHeight="1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ht="15.75" customHeight="1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ht="15.75" customHeight="1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ht="15.75" customHeight="1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ht="15.75" customHeight="1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ht="15.75" customHeight="1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ht="15.75" customHeight="1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ht="15.75" customHeight="1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ht="15.75" customHeight="1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ht="15.75" customHeight="1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ht="15.75" customHeight="1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ht="15.75" customHeight="1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ht="15.75" customHeight="1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ht="15.75" customHeight="1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ht="15.75" customHeight="1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ht="15.75" customHeight="1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ht="15.75" customHeight="1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ht="15.75" customHeight="1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ht="15.75" customHeight="1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ht="15.75" customHeight="1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ht="15.75" customHeight="1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ht="15.75" customHeight="1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ht="15.75" customHeight="1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ht="15.75" customHeight="1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ht="15.75" customHeight="1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ht="15.75" customHeight="1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ht="15.75" customHeight="1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ht="15.75" customHeight="1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ht="15.75" customHeight="1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ht="15.75" customHeight="1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ht="15.75" customHeight="1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ht="15.75" customHeight="1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ht="15.75" customHeight="1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ht="15.75" customHeight="1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ht="15.75" customHeight="1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ht="15.75" customHeight="1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ht="15.75" customHeight="1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ht="15.75" customHeight="1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ht="15.75" customHeight="1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ht="15.75" customHeight="1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ht="15.75" customHeight="1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ht="15.75" customHeight="1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ht="15.75" customHeight="1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ht="15.75" customHeight="1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ht="15.75" customHeight="1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ht="15.75" customHeight="1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ht="15.75" customHeight="1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ht="15.75" customHeight="1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ht="15.75" customHeight="1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ht="15.75" customHeight="1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ht="15.75" customHeight="1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ht="15.75" customHeight="1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ht="15.75" customHeight="1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ht="15.75" customHeight="1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ht="15.75" customHeight="1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ht="15.75" customHeight="1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ht="15.75" customHeight="1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ht="15.75" customHeight="1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ht="15.75" customHeight="1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ht="15.75" customHeight="1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ht="15.75" customHeight="1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ht="15.75" customHeight="1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ht="15.75" customHeight="1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ht="15.75" customHeight="1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ht="15.75" customHeight="1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ht="15.75" customHeight="1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ht="15.75" customHeight="1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ht="15.75" customHeight="1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ht="15.75" customHeight="1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ht="15.75" customHeight="1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ht="15.75" customHeight="1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ht="15.75" customHeight="1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ht="15.75" customHeight="1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ht="15.75" customHeight="1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ht="15.75" customHeight="1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ht="15.75" customHeight="1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ht="15.75" customHeight="1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ht="15.75" customHeight="1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ht="15.75" customHeight="1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ht="15.75" customHeight="1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ht="15.75" customHeight="1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ht="15.75" customHeight="1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ht="15.75" customHeight="1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ht="15.75" customHeight="1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ht="15.75" customHeight="1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ht="15.75" customHeight="1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ht="15.75" customHeight="1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ht="15.75" customHeight="1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ht="15.75" customHeight="1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ht="15.75" customHeight="1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ht="15.75" customHeight="1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ht="15.75" customHeight="1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ht="15.75" customHeight="1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ht="15.75" customHeight="1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ht="15.75" customHeight="1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ht="15.75" customHeight="1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ht="15.75" customHeight="1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ht="15.75" customHeight="1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ht="15.75" customHeight="1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ht="15.75" customHeight="1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ht="15.75" customHeight="1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ht="15.75" customHeight="1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ht="15.75" customHeight="1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ht="15.75" customHeight="1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ht="15.75" customHeight="1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ht="15.75" customHeight="1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ht="15.75" customHeight="1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ht="15.75" customHeight="1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ht="15.75" customHeight="1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ht="15.75" customHeight="1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ht="15.75" customHeight="1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ht="15.75" customHeight="1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ht="15.75" customHeight="1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ht="15.75" customHeight="1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ht="15.75" customHeight="1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ht="15.75" customHeight="1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ht="15.75" customHeight="1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ht="15.75" customHeight="1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ht="15.75" customHeight="1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ht="15.75" customHeight="1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ht="15.75" customHeight="1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ht="15.75" customHeight="1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ht="15.75" customHeight="1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ht="15.75" customHeight="1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ht="15.75" customHeight="1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ht="15.75" customHeight="1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ht="15.75" customHeight="1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ht="15.75" customHeight="1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ht="15.75" customHeight="1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ht="15.75" customHeight="1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ht="15.75" customHeight="1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ht="15.75" customHeight="1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ht="15.75" customHeight="1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ht="15.75" customHeight="1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ht="15.75" customHeight="1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ht="15.75" customHeight="1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ht="15.75" customHeight="1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ht="15.75" customHeight="1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ht="15.75" customHeight="1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ht="15.75" customHeight="1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ht="15.75" customHeight="1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ht="15.75" customHeight="1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ht="15.75" customHeight="1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ht="15.75" customHeight="1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ht="15.75" customHeight="1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ht="15.75" customHeight="1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ht="15.75" customHeight="1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ht="15.75" customHeight="1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ht="15.75" customHeight="1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ht="15.75" customHeight="1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ht="15.75" customHeight="1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ht="15.75" customHeight="1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ht="15.75" customHeight="1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ht="15.75" customHeight="1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ht="15.75" customHeight="1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ht="15.75" customHeight="1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ht="15.75" customHeight="1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ht="15.75" customHeight="1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ht="15.75" customHeight="1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ht="15.75" customHeight="1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ht="15.75" customHeight="1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ht="15.75" customHeight="1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ht="15.75" customHeight="1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ht="15.75" customHeight="1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ht="15.75" customHeight="1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ht="15.75" customHeight="1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ht="15.75" customHeight="1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ht="15.75" customHeight="1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ht="15.75" customHeight="1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ht="15.75" customHeight="1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ht="15.75" customHeight="1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ht="15.75" customHeight="1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ht="15.75" customHeight="1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ht="15.75" customHeight="1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ht="15.75" customHeight="1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ht="15.75" customHeight="1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ht="15.75" customHeight="1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ht="15.75" customHeight="1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ht="15.75" customHeight="1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ht="15.75" customHeight="1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ht="15.75" customHeight="1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ht="15.75" customHeight="1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ht="15.75" customHeight="1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ht="15.75" customHeight="1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ht="15.75" customHeight="1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ht="15.75" customHeight="1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ht="15.75" customHeight="1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ht="15.75" customHeight="1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ht="15.75" customHeight="1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ht="15.75" customHeight="1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ht="15.75" customHeight="1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ht="15.75" customHeight="1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ht="15.75" customHeight="1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ht="15.75" customHeight="1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ht="15.75" customHeight="1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ht="15.75" customHeight="1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ht="15.75" customHeight="1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ht="15.75" customHeight="1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ht="15.75" customHeight="1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ht="15.75" customHeight="1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ht="15.75" customHeight="1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ht="15.75" customHeight="1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ht="15.75" customHeight="1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ht="15.75" customHeight="1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ht="15.75" customHeight="1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ht="15.75" customHeight="1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ht="15.75" customHeight="1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ht="15.75" customHeight="1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ht="15.75" customHeight="1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ht="15.75" customHeight="1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ht="15.75" customHeight="1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ht="15.75" customHeight="1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ht="15.75" customHeight="1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ht="15.75" customHeight="1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ht="15.75" customHeight="1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ht="15.75" customHeight="1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ht="15.75" customHeight="1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ht="15.75" customHeight="1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ht="15.75" customHeight="1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ht="15.75" customHeight="1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ht="15.75" customHeight="1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ht="15.75" customHeight="1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ht="15.75" customHeight="1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ht="15.75" customHeight="1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ht="15.75" customHeight="1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ht="15.75" customHeight="1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ht="15.75" customHeight="1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ht="15.75" customHeight="1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ht="15.75" customHeight="1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ht="15.75" customHeight="1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ht="15.75" customHeight="1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ht="15.75" customHeight="1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ht="15.75" customHeight="1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ht="15.75" customHeight="1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ht="15.75" customHeight="1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ht="15.75" customHeight="1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ht="15.75" customHeight="1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ht="15.75" customHeight="1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ht="15.75" customHeight="1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ht="15.75" customHeight="1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ht="15.75" customHeight="1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ht="15.75" customHeight="1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ht="15.75" customHeight="1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ht="15.75" customHeight="1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ht="15.75" customHeight="1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ht="15.75" customHeight="1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ht="15.75" customHeight="1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ht="15.75" customHeight="1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ht="15.75" customHeight="1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ht="15.75" customHeight="1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ht="15.75" customHeight="1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ht="15.75" customHeight="1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ht="15.75" customHeight="1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ht="15.75" customHeight="1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ht="15.75" customHeight="1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ht="15.75" customHeight="1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ht="15.75" customHeight="1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ht="15.75" customHeight="1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ht="15.75" customHeight="1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ht="15.75" customHeight="1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ht="15.75" customHeight="1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ht="15.75" customHeight="1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ht="15.75" customHeight="1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ht="15.75" customHeight="1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ht="15.75" customHeight="1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ht="15.75" customHeight="1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ht="15.75" customHeight="1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ht="15.75" customHeight="1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ht="15.75" customHeight="1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ht="15.75" customHeight="1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ht="15.75" customHeight="1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ht="15.75" customHeight="1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ht="15.75" customHeight="1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ht="15.75" customHeight="1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ht="15.75" customHeight="1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ht="15.75" customHeight="1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ht="15.75" customHeight="1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ht="15.75" customHeight="1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ht="15.75" customHeight="1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ht="15.75" customHeight="1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ht="15.75" customHeight="1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ht="15.75" customHeight="1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ht="15.75" customHeight="1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ht="15.75" customHeight="1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ht="15.75" customHeight="1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ht="15.75" customHeight="1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ht="15.75" customHeight="1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ht="15.75" customHeight="1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ht="15.75" customHeight="1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ht="15.75" customHeight="1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ht="15.75" customHeight="1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ht="15.75" customHeight="1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ht="15.75" customHeight="1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ht="15.75" customHeight="1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ht="15.75" customHeight="1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ht="15.75" customHeight="1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ht="15.75" customHeight="1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ht="15.75" customHeight="1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ht="15.75" customHeight="1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ht="15.75" customHeight="1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ht="15.75" customHeight="1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ht="15.75" customHeight="1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ht="15.75" customHeight="1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ht="15.75" customHeight="1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ht="15.75" customHeight="1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ht="15.75" customHeight="1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ht="15.75" customHeight="1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ht="15.75" customHeight="1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ht="15.75" customHeight="1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ht="15.75" customHeight="1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ht="15.75" customHeight="1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ht="15.75" customHeight="1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ht="15.75" customHeight="1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ht="15.75" customHeight="1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ht="15.75" customHeight="1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ht="15.75" customHeight="1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ht="15.75" customHeight="1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ht="15.75" customHeight="1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ht="15.75" customHeight="1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ht="15.75" customHeight="1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ht="15.75" customHeight="1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ht="15.75" customHeight="1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ht="15.75" customHeight="1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ht="15.75" customHeight="1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ht="15.75" customHeight="1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ht="15.75" customHeight="1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ht="15.75" customHeight="1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ht="15.75" customHeight="1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ht="15.75" customHeight="1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ht="15.75" customHeight="1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ht="15.75" customHeight="1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ht="15.75" customHeight="1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ht="15.75" customHeight="1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ht="15.75" customHeight="1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ht="15.75" customHeight="1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ht="15.75" customHeight="1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ht="15.75" customHeight="1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ht="15.75" customHeight="1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ht="15.75" customHeight="1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ht="15.75" customHeight="1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ht="15.75" customHeight="1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ht="15.75" customHeight="1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ht="15.75" customHeight="1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ht="15.75" customHeight="1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ht="15.75" customHeight="1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ht="15.75" customHeight="1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ht="15.75" customHeight="1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ht="15.75" customHeight="1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ht="15.75" customHeight="1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ht="15.75" customHeight="1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ht="15.75" customHeight="1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ht="15.75" customHeight="1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ht="15.75" customHeight="1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ht="15.75" customHeight="1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ht="15.75" customHeight="1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ht="15.75" customHeight="1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ht="15.75" customHeight="1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ht="15.75" customHeight="1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ht="15.75" customHeight="1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ht="15.75" customHeight="1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ht="15.75" customHeight="1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ht="15.75" customHeight="1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ht="15.75" customHeight="1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ht="15.75" customHeight="1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ht="15.75" customHeight="1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ht="15.75" customHeight="1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ht="15.75" customHeight="1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ht="15.75" customHeight="1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ht="15.75" customHeight="1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ht="15.75" customHeight="1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ht="15.75" customHeight="1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ht="15.75" customHeight="1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ht="15.75" customHeight="1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ht="15.75" customHeight="1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ht="15.75" customHeight="1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ht="15.75" customHeight="1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ht="15.75" customHeight="1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ht="15.75" customHeight="1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ht="15.75" customHeight="1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ht="15.75" customHeight="1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ht="15.75" customHeight="1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ht="15.75" customHeight="1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ht="15.75" customHeight="1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ht="15.75" customHeight="1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ht="15.75" customHeight="1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ht="15.75" customHeight="1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ht="15.75" customHeight="1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ht="15.75" customHeight="1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ht="15.75" customHeight="1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ht="15.75" customHeight="1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ht="15.75" customHeight="1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ht="15.75" customHeight="1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ht="15.75" customHeight="1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ht="15.75" customHeight="1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ht="15.75" customHeight="1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ht="15.75" customHeight="1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ht="15.75" customHeight="1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ht="15.75" customHeight="1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ht="15.75" customHeight="1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ht="15.75" customHeight="1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ht="15.75" customHeight="1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ht="15.75" customHeight="1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ht="15.75" customHeight="1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ht="15.75" customHeight="1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ht="15.75" customHeight="1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ht="15.75" customHeight="1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ht="15.75" customHeight="1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ht="15.75" customHeight="1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ht="15.75" customHeight="1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ht="15.75" customHeight="1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ht="15.75" customHeight="1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ht="15.75" customHeight="1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ht="15.75" customHeight="1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ht="15.75" customHeight="1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ht="15.75" customHeight="1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ht="15.75" customHeight="1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ht="15.75" customHeight="1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ht="15.75" customHeight="1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ht="15.75" customHeight="1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ht="15.75" customHeight="1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ht="15.75" customHeight="1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ht="15.75" customHeight="1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ht="15.75" customHeight="1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ht="15.75" customHeight="1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ht="15.75" customHeight="1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ht="15.75" customHeight="1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ht="15.75" customHeight="1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ht="15.75" customHeight="1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ht="15.75" customHeight="1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ht="15.75" customHeight="1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ht="15.75" customHeight="1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ht="15.75" customHeight="1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ht="15.75" customHeight="1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ht="15.75" customHeight="1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ht="15.75" customHeight="1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ht="15.75" customHeight="1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ht="15.75" customHeight="1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ht="15.75" customHeight="1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ht="15.75" customHeight="1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ht="15.75" customHeight="1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ht="15.75" customHeight="1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ht="15.75" customHeight="1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ht="15.75" customHeight="1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ht="15.75" customHeight="1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ht="15.75" customHeight="1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ht="15.75" customHeight="1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ht="15.75" customHeight="1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ht="15.75" customHeight="1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ht="15.75" customHeight="1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ht="15.75" customHeight="1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ht="15.75" customHeight="1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ht="15.75" customHeight="1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ht="15.75" customHeight="1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ht="15.75" customHeight="1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ht="15.75" customHeight="1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ht="15.75" customHeight="1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ht="15.75" customHeight="1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ht="15.75" customHeight="1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ht="15.75" customHeight="1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ht="15.75" customHeight="1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ht="15.75" customHeight="1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ht="15.75" customHeight="1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ht="15.75" customHeight="1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ht="15.75" customHeight="1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ht="15.75" customHeight="1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ht="15.75" customHeight="1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ht="15.75" customHeight="1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ht="15.75" customHeight="1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ht="15.75" customHeight="1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ht="15.75" customHeight="1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ht="15.75" customHeight="1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ht="15.75" customHeight="1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ht="15.75" customHeight="1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ht="15.75" customHeight="1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ht="15.75" customHeight="1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ht="15.75" customHeight="1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ht="15.75" customHeight="1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ht="15.75" customHeight="1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ht="15.75" customHeight="1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ht="15.75" customHeight="1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ht="15.75" customHeight="1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ht="15.75" customHeight="1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ht="15.75" customHeight="1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ht="15.75" customHeight="1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ht="15.75" customHeight="1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ht="15.75" customHeight="1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ht="15.75" customHeight="1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ht="15.75" customHeight="1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ht="15.75" customHeight="1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ht="15.75" customHeight="1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ht="15.75" customHeight="1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ht="15.75" customHeight="1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ht="15.75" customHeight="1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ht="15.75" customHeight="1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ht="15.75" customHeight="1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ht="15.75" customHeight="1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ht="15.75" customHeight="1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ht="15.75" customHeight="1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ht="15.75" customHeight="1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ht="15.75" customHeight="1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ht="15.75" customHeight="1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ht="15.75" customHeight="1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ht="15.75" customHeight="1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ht="15.75" customHeight="1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ht="15.75" customHeight="1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ht="15.75" customHeight="1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ht="15.75" customHeight="1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ht="15.75" customHeight="1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ht="15.75" customHeight="1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ht="15.75" customHeight="1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ht="15.75" customHeight="1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ht="15.75" customHeight="1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ht="15.75" customHeight="1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ht="15.75" customHeight="1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ht="15.75" customHeight="1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ht="15.75" customHeight="1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ht="15.75" customHeight="1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ht="15.75" customHeight="1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ht="15.75" customHeight="1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ht="15.75" customHeight="1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ht="15.75" customHeight="1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ht="15.75" customHeight="1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ht="15.75" customHeight="1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ht="15.75" customHeight="1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ht="15.75" customHeight="1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ht="15.75" customHeight="1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ht="15.75" customHeight="1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ht="15.75" customHeight="1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ht="15.75" customHeight="1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ht="15.75" customHeight="1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ht="15.75" customHeight="1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ht="15.75" customHeight="1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ht="15.75" customHeight="1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ht="15.75" customHeight="1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ht="15.75" customHeight="1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ht="15.75" customHeight="1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ht="15.75" customHeight="1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ht="15.75" customHeight="1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ht="15.75" customHeight="1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ht="15.75" customHeight="1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ht="15.75" customHeight="1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ht="15.75" customHeight="1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ht="15.75" customHeight="1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ht="15.75" customHeight="1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ht="15.75" customHeight="1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ht="15.75" customHeight="1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ht="15.75" customHeight="1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ht="15.75" customHeight="1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ht="15.75" customHeight="1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ht="15.75" customHeight="1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ht="15.75" customHeight="1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ht="15.75" customHeight="1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ht="15.75" customHeight="1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ht="15.75" customHeight="1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ht="15.75" customHeight="1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ht="15.75" customHeight="1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ht="15.75" customHeight="1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ht="15.75" customHeight="1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ht="15.75" customHeight="1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ht="15.75" customHeight="1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ht="15.75" customHeight="1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ht="15.75" customHeight="1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ht="15.75" customHeight="1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ht="15.75" customHeight="1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ht="15.75" customHeight="1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ht="15.75" customHeight="1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ht="15.75" customHeight="1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ht="15.75" customHeight="1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ht="15.75" customHeight="1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ht="15.75" customHeight="1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ht="15.75" customHeight="1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ht="15.75" customHeight="1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ht="15.75" customHeight="1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ht="15.75" customHeight="1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ht="15.75" customHeight="1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ht="15.75" customHeight="1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ht="15.75" customHeight="1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ht="15.75" customHeight="1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ht="15.75" customHeight="1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ht="15.75" customHeight="1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ht="15.75" customHeight="1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ht="15.75" customHeight="1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ht="15.75" customHeight="1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ht="15.75" customHeight="1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ht="15.75" customHeight="1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ht="15.75" customHeight="1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ht="15.75" customHeight="1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ht="15.75" customHeight="1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ht="15.75" customHeight="1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ht="15.75" customHeight="1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ht="15.75" customHeight="1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ht="15.75" customHeight="1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ht="15.75" customHeight="1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ht="15.75" customHeight="1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ht="15.75" customHeight="1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ht="15.75" customHeight="1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ht="15.75" customHeight="1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ht="15.75" customHeight="1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ht="15.75" customHeight="1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ht="15.75" customHeight="1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ht="15.75" customHeight="1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ht="15.75" customHeight="1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ht="15.75" customHeight="1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ht="15.75" customHeight="1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ht="15.75" customHeight="1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ht="15.75" customHeight="1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ht="15.75" customHeight="1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ht="15.75" customHeight="1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ht="15.75" customHeight="1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ht="15.75" customHeight="1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ht="15.75" customHeight="1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ht="15.75" customHeight="1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ht="15.75" customHeight="1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ht="15.75" customHeight="1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ht="15.75" customHeight="1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ht="15.75" customHeight="1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ht="15.75" customHeight="1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ht="15.75" customHeight="1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ht="15.75" customHeight="1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ht="15.75" customHeight="1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ht="15.75" customHeight="1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ht="15.75" customHeight="1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ht="15.75" customHeight="1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ht="15.75" customHeight="1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ht="15.75" customHeight="1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ht="15.75" customHeight="1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ht="15.75" customHeight="1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ht="15.75" customHeight="1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ht="15.75" customHeight="1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ht="15.75" customHeight="1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ht="15.75" customHeight="1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ht="15.75" customHeight="1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ht="15.75" customHeight="1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ht="15.75" customHeight="1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ht="15.75" customHeight="1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ht="15.75" customHeight="1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ht="15.75" customHeight="1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ht="15.75" customHeight="1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ht="15.75" customHeight="1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ht="15.75" customHeight="1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ht="15.75" customHeight="1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ht="15.75" customHeight="1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ht="15.75" customHeight="1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ht="15.75" customHeight="1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ht="15.75" customHeight="1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ht="15.75" customHeight="1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ht="15.75" customHeight="1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ht="15.75" customHeight="1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ht="15.75" customHeight="1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ht="15.75" customHeight="1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ht="15.75" customHeight="1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ht="15.75" customHeight="1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ht="15.75" customHeight="1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ht="15.75" customHeight="1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ht="15.75" customHeight="1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ht="15.75" customHeight="1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ht="15.75" customHeight="1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ht="15.75" customHeight="1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ht="15.75" customHeight="1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ht="15.75" customHeight="1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ht="15.75" customHeight="1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ht="15.75" customHeight="1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ht="15.75" customHeight="1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ht="15.75" customHeight="1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ht="15.75" customHeight="1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ht="15.75" customHeight="1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ht="15.75" customHeight="1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ht="15.75" customHeight="1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ht="15.75" customHeight="1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ht="15.75" customHeight="1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ht="15.75" customHeight="1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ht="15.75" customHeight="1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ht="15.75" customHeight="1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ht="15.75" customHeight="1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ht="15.75" customHeight="1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ht="15.75" customHeight="1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ht="15.75" customHeight="1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ht="15.75" customHeight="1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ht="15.75" customHeight="1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ht="15.75" customHeight="1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ht="15.75" customHeight="1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ht="15.75" customHeight="1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ht="15.75" customHeight="1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ht="15.75" customHeight="1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ht="15.75" customHeight="1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ht="15.75" customHeight="1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ht="15.75" customHeight="1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ht="15.75" customHeight="1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ht="15.75" customHeight="1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ht="15.75" customHeight="1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ht="15.75" customHeight="1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ht="15.75" customHeight="1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ht="15.75" customHeight="1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ht="15.75" customHeight="1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ht="15.75" customHeight="1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ht="15.75" customHeight="1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ht="15.75" customHeight="1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ht="15.75" customHeight="1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ht="15.75" customHeight="1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ht="15.75" customHeight="1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ht="15.75" customHeight="1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ht="15.75" customHeight="1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ht="15.75" customHeight="1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ht="15.75" customHeight="1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ht="15.75" customHeight="1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ht="15.75" customHeight="1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ht="15.75" customHeight="1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ht="15.75" customHeight="1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ht="15.75" customHeight="1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ht="15.75" customHeight="1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ht="15.75" customHeight="1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ht="15.75" customHeight="1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ht="15.75" customHeight="1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ht="15.75" customHeight="1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ht="15.75" customHeight="1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ht="15.75" customHeight="1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ht="15.75" customHeight="1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ht="15.75" customHeight="1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ht="15.75" customHeight="1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ht="15.75" customHeight="1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ht="15.75" customHeight="1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ht="15.75" customHeight="1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ht="15.75" customHeight="1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ht="15.75" customHeight="1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ht="15.75" customHeight="1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ht="15.75" customHeight="1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ht="15.75" customHeight="1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ht="15.75" customHeight="1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ht="15.75" customHeight="1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ht="15.75" customHeight="1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ht="15.75" customHeight="1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ht="15.75" customHeight="1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ht="15.75" customHeight="1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ht="15.75" customHeight="1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ht="15.75" customHeight="1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ht="15.75" customHeight="1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ht="15.75" customHeight="1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ht="15.75" customHeight="1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ht="15.75" customHeight="1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ht="15.75" customHeight="1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ht="15.75" customHeight="1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ht="15.75" customHeight="1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ht="15.75" customHeight="1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ht="15.75" customHeight="1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ht="15.75" customHeight="1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ht="15.75" customHeight="1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ht="15.75" customHeight="1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ht="15.75" customHeight="1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ht="15.75" customHeight="1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ht="15.75" customHeight="1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ht="15.75" customHeight="1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ht="15.75" customHeight="1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ht="15.75" customHeight="1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ht="15.75" customHeight="1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ht="15.75" customHeight="1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ht="15.75" customHeight="1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ht="15.75" customHeight="1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ht="15.75" customHeight="1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ht="15.75" customHeight="1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ht="15.75" customHeight="1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ht="15.75" customHeight="1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ht="15.75" customHeight="1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ht="15.75" customHeight="1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ht="15.75" customHeight="1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ht="15.75" customHeight="1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ht="15.75" customHeight="1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ht="15.75" customHeight="1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ht="15.75" customHeight="1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ht="15.75" customHeight="1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ht="15.75" customHeight="1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ht="15.75" customHeight="1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ht="15.75" customHeight="1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ht="15.75" customHeight="1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ht="15.75" customHeight="1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ht="15.75" customHeight="1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ht="15.75" customHeight="1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ht="15.75" customHeight="1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ht="15.75" customHeight="1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ht="15.75" customHeight="1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ht="15.75" customHeight="1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ht="15.75" customHeight="1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ht="15.75" customHeight="1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ht="15.75" customHeight="1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ht="15.75" customHeight="1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ht="15.75" customHeight="1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ht="15.75" customHeight="1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ht="15.75" customHeight="1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ht="15.75" customHeight="1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ht="15.75" customHeight="1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ht="15.75" customHeight="1"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ht="15.75" customHeight="1"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ht="15.75" customHeight="1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ht="15.75" customHeight="1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ht="15.75" customHeight="1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ht="15.75" customHeight="1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ht="15.75" customHeight="1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ht="15.75" customHeight="1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ht="15.75" customHeight="1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ht="15.75" customHeight="1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ht="15.75" customHeight="1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ht="15.75" customHeight="1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ht="15.75" customHeight="1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</sheetData>
  <mergeCells count="17">
    <mergeCell ref="C3:E3"/>
    <mergeCell ref="F3:H3"/>
    <mergeCell ref="I3:K3"/>
    <mergeCell ref="L3:N3"/>
    <mergeCell ref="O3:Q3"/>
    <mergeCell ref="R3:T3"/>
    <mergeCell ref="U3:W3"/>
    <mergeCell ref="AS3:AU3"/>
    <mergeCell ref="AV3:AX3"/>
    <mergeCell ref="X3:Z3"/>
    <mergeCell ref="AA3:AC3"/>
    <mergeCell ref="AD3:AF3"/>
    <mergeCell ref="AG3:AI3"/>
    <mergeCell ref="AJ3:AL3"/>
    <mergeCell ref="AM3:AO3"/>
    <mergeCell ref="AP3:AR3"/>
    <mergeCell ref="I88:AR88"/>
  </mergeCells>
  <conditionalFormatting sqref="A84:AY85">
    <cfRule type="cellIs" dxfId="0" priority="1" operator="lessThan">
      <formula>0</formula>
    </cfRule>
  </conditionalFormatting>
  <conditionalFormatting sqref="A84:AY85">
    <cfRule type="cellIs" dxfId="1" priority="2" operator="greaterThan">
      <formula>0</formula>
    </cfRule>
  </conditionalFormatting>
  <conditionalFormatting sqref="D86:AY86">
    <cfRule type="cellIs" dxfId="0" priority="3" operator="lessThan">
      <formula>0</formula>
    </cfRule>
  </conditionalFormatting>
  <conditionalFormatting sqref="D86:AY86">
    <cfRule type="cellIs" dxfId="1" priority="4" operator="greaterThan">
      <formula>0</formula>
    </cfRule>
  </conditionalFormatting>
  <conditionalFormatting sqref="F127:N128">
    <cfRule type="cellIs" dxfId="0" priority="5" operator="lessThan">
      <formula>0</formula>
    </cfRule>
  </conditionalFormatting>
  <conditionalFormatting sqref="F127:N128">
    <cfRule type="cellIs" dxfId="1" priority="6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outlinePr summaryBelow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1.22" defaultRowHeight="15.0" outlineLevelRow="1"/>
  <cols>
    <col customWidth="1" min="1" max="1" width="21.89"/>
    <col customWidth="1" min="2" max="5" width="8.33"/>
    <col customWidth="1" min="6" max="8" width="9.11"/>
    <col customWidth="1" min="9" max="9" width="8.33"/>
    <col customWidth="1" min="10" max="10" width="9.11"/>
    <col customWidth="1" min="11" max="12" width="8.33"/>
    <col customWidth="1" min="13" max="13" width="9.0"/>
    <col customWidth="1" min="14" max="14" width="9.11"/>
    <col customWidth="1" min="15" max="15" width="17.11"/>
    <col customWidth="1" min="16" max="26" width="8.33"/>
  </cols>
  <sheetData>
    <row r="1" ht="15.75" customHeight="1">
      <c r="A1" s="41" t="s">
        <v>179</v>
      </c>
      <c r="B1" s="42" t="s">
        <v>67</v>
      </c>
      <c r="E1" s="43" t="s">
        <v>68</v>
      </c>
      <c r="F1" s="43"/>
      <c r="G1" s="43"/>
      <c r="H1" s="44" t="s">
        <v>69</v>
      </c>
      <c r="I1" s="44"/>
      <c r="J1" s="44"/>
      <c r="K1" s="45" t="s">
        <v>70</v>
      </c>
      <c r="N1" s="46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5.75" customHeight="1">
      <c r="A2" s="47"/>
      <c r="B2" s="48">
        <v>2026.0</v>
      </c>
      <c r="C2" s="48">
        <v>2026.0</v>
      </c>
      <c r="D2" s="48">
        <v>2026.0</v>
      </c>
      <c r="E2" s="49">
        <v>2026.0</v>
      </c>
      <c r="F2" s="49">
        <v>2026.0</v>
      </c>
      <c r="G2" s="49">
        <v>2026.0</v>
      </c>
      <c r="H2" s="50">
        <v>2026.0</v>
      </c>
      <c r="I2" s="50">
        <v>2026.0</v>
      </c>
      <c r="J2" s="50">
        <v>2026.0</v>
      </c>
      <c r="K2" s="51">
        <v>2026.0</v>
      </c>
      <c r="L2" s="51">
        <v>2026.0</v>
      </c>
      <c r="M2" s="51">
        <v>2026.0</v>
      </c>
      <c r="N2" s="52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5.75" customHeight="1">
      <c r="A3" s="47"/>
      <c r="B3" s="48" t="s">
        <v>180</v>
      </c>
      <c r="C3" s="48" t="s">
        <v>181</v>
      </c>
      <c r="D3" s="48" t="s">
        <v>182</v>
      </c>
      <c r="E3" s="49" t="s">
        <v>183</v>
      </c>
      <c r="F3" s="49" t="s">
        <v>184</v>
      </c>
      <c r="G3" s="49" t="s">
        <v>185</v>
      </c>
      <c r="H3" s="50" t="s">
        <v>186</v>
      </c>
      <c r="I3" s="50" t="s">
        <v>187</v>
      </c>
      <c r="J3" s="50" t="s">
        <v>188</v>
      </c>
      <c r="K3" s="51" t="s">
        <v>189</v>
      </c>
      <c r="L3" s="51" t="s">
        <v>190</v>
      </c>
      <c r="M3" s="51" t="s">
        <v>191</v>
      </c>
      <c r="N3" s="52"/>
      <c r="O3" s="53" t="s">
        <v>192</v>
      </c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5.75" customHeight="1">
      <c r="A4" s="54" t="s">
        <v>193</v>
      </c>
      <c r="B4" s="53"/>
      <c r="C4" s="53"/>
      <c r="D4" s="53"/>
      <c r="E4" s="53"/>
      <c r="F4" s="53"/>
      <c r="G4" s="53">
        <f t="shared" ref="G4:M4" si="1">G5*G6</f>
        <v>25000</v>
      </c>
      <c r="H4" s="53">
        <f t="shared" si="1"/>
        <v>29250</v>
      </c>
      <c r="I4" s="53">
        <f t="shared" si="1"/>
        <v>33800</v>
      </c>
      <c r="J4" s="53">
        <f t="shared" si="1"/>
        <v>38447.5</v>
      </c>
      <c r="K4" s="53">
        <f t="shared" si="1"/>
        <v>42841.5</v>
      </c>
      <c r="L4" s="53">
        <f t="shared" si="1"/>
        <v>46411.625</v>
      </c>
      <c r="M4" s="53">
        <f t="shared" si="1"/>
        <v>48268.09</v>
      </c>
      <c r="N4" s="53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5.75" customHeight="1">
      <c r="A5" s="47" t="s">
        <v>194</v>
      </c>
      <c r="B5" s="53"/>
      <c r="C5" s="53"/>
      <c r="D5" s="53"/>
      <c r="E5" s="53"/>
      <c r="F5" s="53"/>
      <c r="G5" s="53">
        <v>5000.0</v>
      </c>
      <c r="H5" s="53">
        <f t="shared" ref="H5:M5" si="2">G5*1.3</f>
        <v>6500</v>
      </c>
      <c r="I5" s="53">
        <f t="shared" si="2"/>
        <v>8450</v>
      </c>
      <c r="J5" s="53">
        <f t="shared" si="2"/>
        <v>10985</v>
      </c>
      <c r="K5" s="53">
        <f t="shared" si="2"/>
        <v>14280.5</v>
      </c>
      <c r="L5" s="53">
        <f t="shared" si="2"/>
        <v>18564.65</v>
      </c>
      <c r="M5" s="53">
        <f t="shared" si="2"/>
        <v>24134.045</v>
      </c>
      <c r="N5" s="53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5.75" customHeight="1">
      <c r="A6" s="47" t="s">
        <v>195</v>
      </c>
      <c r="B6" s="53"/>
      <c r="C6" s="53"/>
      <c r="D6" s="53"/>
      <c r="E6" s="53"/>
      <c r="F6" s="53"/>
      <c r="G6" s="55">
        <v>5.0</v>
      </c>
      <c r="H6" s="55">
        <f t="shared" ref="H6:M6" si="3">G6-0.5</f>
        <v>4.5</v>
      </c>
      <c r="I6" s="55">
        <f t="shared" si="3"/>
        <v>4</v>
      </c>
      <c r="J6" s="55">
        <f t="shared" si="3"/>
        <v>3.5</v>
      </c>
      <c r="K6" s="55">
        <f t="shared" si="3"/>
        <v>3</v>
      </c>
      <c r="L6" s="55">
        <f t="shared" si="3"/>
        <v>2.5</v>
      </c>
      <c r="M6" s="55">
        <f t="shared" si="3"/>
        <v>2</v>
      </c>
      <c r="N6" s="53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5.75" customHeight="1">
      <c r="A7" s="56" t="s">
        <v>196</v>
      </c>
      <c r="B7" s="53"/>
      <c r="C7" s="53"/>
      <c r="D7" s="53"/>
      <c r="E7" s="53"/>
      <c r="F7" s="53"/>
      <c r="G7" s="53">
        <f t="shared" ref="G7:M7" si="4">G5/50</f>
        <v>100</v>
      </c>
      <c r="H7" s="53">
        <f t="shared" si="4"/>
        <v>130</v>
      </c>
      <c r="I7" s="53">
        <f t="shared" si="4"/>
        <v>169</v>
      </c>
      <c r="J7" s="53">
        <f t="shared" si="4"/>
        <v>219.7</v>
      </c>
      <c r="K7" s="53">
        <f t="shared" si="4"/>
        <v>285.61</v>
      </c>
      <c r="L7" s="53">
        <f t="shared" si="4"/>
        <v>371.293</v>
      </c>
      <c r="M7" s="53">
        <f t="shared" si="4"/>
        <v>482.6809</v>
      </c>
      <c r="N7" s="53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5.75" customHeight="1">
      <c r="A8" s="47" t="s">
        <v>197</v>
      </c>
      <c r="B8" s="53"/>
      <c r="C8" s="53"/>
      <c r="D8" s="53"/>
      <c r="E8" s="53"/>
      <c r="F8" s="53"/>
      <c r="G8" s="53">
        <v>3000.0</v>
      </c>
      <c r="H8" s="53">
        <v>3000.0</v>
      </c>
      <c r="I8" s="53">
        <v>3000.0</v>
      </c>
      <c r="J8" s="53">
        <v>3000.0</v>
      </c>
      <c r="K8" s="53">
        <v>3000.0</v>
      </c>
      <c r="L8" s="53">
        <v>3000.0</v>
      </c>
      <c r="M8" s="53">
        <v>3000.0</v>
      </c>
      <c r="N8" s="53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5.75" customHeight="1">
      <c r="A9" s="47" t="s">
        <v>198</v>
      </c>
      <c r="B9" s="53"/>
      <c r="C9" s="57"/>
      <c r="D9" s="58"/>
      <c r="E9" s="58"/>
      <c r="F9" s="58"/>
      <c r="G9" s="59">
        <f t="shared" ref="G9:M9" si="5">G8*G5</f>
        <v>15000000</v>
      </c>
      <c r="H9" s="59">
        <f t="shared" si="5"/>
        <v>19500000</v>
      </c>
      <c r="I9" s="59">
        <f t="shared" si="5"/>
        <v>25350000</v>
      </c>
      <c r="J9" s="59">
        <f t="shared" si="5"/>
        <v>32955000</v>
      </c>
      <c r="K9" s="59">
        <f t="shared" si="5"/>
        <v>42841500</v>
      </c>
      <c r="L9" s="59">
        <f t="shared" si="5"/>
        <v>55693950</v>
      </c>
      <c r="M9" s="59">
        <f t="shared" si="5"/>
        <v>72402135</v>
      </c>
      <c r="N9" s="5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5.75" customHeight="1">
      <c r="A10" s="47" t="s">
        <v>84</v>
      </c>
      <c r="B10" s="47"/>
      <c r="C10" s="47"/>
      <c r="D10" s="47"/>
      <c r="E10" s="60"/>
      <c r="F10" s="60"/>
      <c r="G10" s="61">
        <v>0.0015</v>
      </c>
      <c r="H10" s="61">
        <v>0.0015</v>
      </c>
      <c r="I10" s="61">
        <v>0.0015</v>
      </c>
      <c r="J10" s="61">
        <v>0.0015</v>
      </c>
      <c r="K10" s="61">
        <v>0.0015</v>
      </c>
      <c r="L10" s="61">
        <v>0.0015</v>
      </c>
      <c r="M10" s="61">
        <v>0.0015</v>
      </c>
      <c r="N10" s="53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5.75" customHeight="1">
      <c r="A11" s="56" t="s">
        <v>199</v>
      </c>
      <c r="B11" s="53"/>
      <c r="C11" s="62"/>
      <c r="D11" s="53"/>
      <c r="E11" s="53"/>
      <c r="F11" s="53"/>
      <c r="G11" s="63">
        <f t="shared" ref="G11:M11" si="6">G9*G10</f>
        <v>22500</v>
      </c>
      <c r="H11" s="63">
        <f t="shared" si="6"/>
        <v>29250</v>
      </c>
      <c r="I11" s="63">
        <f t="shared" si="6"/>
        <v>38025</v>
      </c>
      <c r="J11" s="63">
        <f t="shared" si="6"/>
        <v>49432.5</v>
      </c>
      <c r="K11" s="63">
        <f t="shared" si="6"/>
        <v>64262.25</v>
      </c>
      <c r="L11" s="63">
        <f t="shared" si="6"/>
        <v>83540.925</v>
      </c>
      <c r="M11" s="63">
        <f t="shared" si="6"/>
        <v>108603.2025</v>
      </c>
      <c r="N11" s="53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5.75" customHeight="1">
      <c r="A12" s="56" t="s">
        <v>200</v>
      </c>
      <c r="B12" s="53"/>
      <c r="C12" s="62"/>
      <c r="D12" s="53"/>
      <c r="E12" s="53"/>
      <c r="F12" s="53"/>
      <c r="G12" s="64">
        <v>0.02</v>
      </c>
      <c r="H12" s="64">
        <v>0.03</v>
      </c>
      <c r="I12" s="64">
        <v>0.03</v>
      </c>
      <c r="J12" s="64">
        <v>0.04</v>
      </c>
      <c r="K12" s="64">
        <v>0.04</v>
      </c>
      <c r="L12" s="64">
        <v>0.05</v>
      </c>
      <c r="M12" s="64">
        <v>0.05</v>
      </c>
      <c r="N12" s="53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5.75" customHeight="1">
      <c r="A13" s="56" t="s">
        <v>201</v>
      </c>
      <c r="B13" s="53"/>
      <c r="C13" s="62"/>
      <c r="D13" s="57"/>
      <c r="E13" s="62"/>
      <c r="F13" s="62"/>
      <c r="G13" s="59">
        <f t="shared" ref="G13:M13" si="7">G11*G12</f>
        <v>450</v>
      </c>
      <c r="H13" s="59">
        <f t="shared" si="7"/>
        <v>877.5</v>
      </c>
      <c r="I13" s="59">
        <f t="shared" si="7"/>
        <v>1140.75</v>
      </c>
      <c r="J13" s="59">
        <f t="shared" si="7"/>
        <v>1977.3</v>
      </c>
      <c r="K13" s="59">
        <f t="shared" si="7"/>
        <v>2570.49</v>
      </c>
      <c r="L13" s="59">
        <f t="shared" si="7"/>
        <v>4177.04625</v>
      </c>
      <c r="M13" s="59">
        <f t="shared" si="7"/>
        <v>5430.160125</v>
      </c>
      <c r="N13" s="62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5.75" customHeight="1">
      <c r="A14" s="56" t="s">
        <v>202</v>
      </c>
      <c r="B14" s="53"/>
      <c r="C14" s="53"/>
      <c r="D14" s="53"/>
      <c r="E14" s="53"/>
      <c r="F14" s="53"/>
      <c r="G14" s="65">
        <f t="shared" ref="G14:M14" si="8">G26/G13</f>
        <v>57.77777778</v>
      </c>
      <c r="H14" s="65">
        <f t="shared" si="8"/>
        <v>34.81481481</v>
      </c>
      <c r="I14" s="65">
        <f t="shared" si="8"/>
        <v>31.11111111</v>
      </c>
      <c r="J14" s="65">
        <f t="shared" si="8"/>
        <v>20.55555556</v>
      </c>
      <c r="K14" s="65">
        <f t="shared" si="8"/>
        <v>17.77777778</v>
      </c>
      <c r="L14" s="65">
        <f t="shared" si="8"/>
        <v>12</v>
      </c>
      <c r="M14" s="65">
        <f t="shared" si="8"/>
        <v>9.777777778</v>
      </c>
      <c r="N14" s="5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5.75" customHeight="1">
      <c r="A15" s="56" t="s">
        <v>203</v>
      </c>
      <c r="B15" s="53"/>
      <c r="C15" s="53"/>
      <c r="D15" s="53"/>
      <c r="E15" s="53"/>
      <c r="F15" s="53"/>
      <c r="G15" s="65">
        <f>AVERAGE('Заводы + Юнит эк.'!AN4:AN8)</f>
        <v>21.296</v>
      </c>
      <c r="H15" s="65">
        <f t="shared" ref="H15:M15" si="9">G15*1.05</f>
        <v>22.3608</v>
      </c>
      <c r="I15" s="65">
        <f t="shared" si="9"/>
        <v>23.47884</v>
      </c>
      <c r="J15" s="65">
        <f t="shared" si="9"/>
        <v>24.652782</v>
      </c>
      <c r="K15" s="65">
        <f t="shared" si="9"/>
        <v>25.8854211</v>
      </c>
      <c r="L15" s="65">
        <f t="shared" si="9"/>
        <v>27.17969216</v>
      </c>
      <c r="M15" s="65">
        <f t="shared" si="9"/>
        <v>28.53867676</v>
      </c>
      <c r="N15" s="5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A16" s="56" t="s">
        <v>204</v>
      </c>
      <c r="B16" s="53"/>
      <c r="C16" s="58"/>
      <c r="D16" s="58"/>
      <c r="E16" s="58"/>
      <c r="F16" s="58"/>
      <c r="G16" s="58"/>
      <c r="H16" s="59">
        <f t="shared" ref="H16:M16" si="10">G17*0.1</f>
        <v>45</v>
      </c>
      <c r="I16" s="59">
        <f t="shared" si="10"/>
        <v>87.75</v>
      </c>
      <c r="J16" s="59">
        <f t="shared" si="10"/>
        <v>114.075</v>
      </c>
      <c r="K16" s="59">
        <f t="shared" si="10"/>
        <v>197.73</v>
      </c>
      <c r="L16" s="59">
        <f t="shared" si="10"/>
        <v>257.049</v>
      </c>
      <c r="M16" s="59">
        <f t="shared" si="10"/>
        <v>417.704625</v>
      </c>
      <c r="N16" s="58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5.75" customHeight="1">
      <c r="A17" s="56" t="s">
        <v>205</v>
      </c>
      <c r="B17" s="53"/>
      <c r="C17" s="53"/>
      <c r="D17" s="53"/>
      <c r="E17" s="53"/>
      <c r="F17" s="53" t="str">
        <f t="shared" ref="F17:M17" si="11">F13</f>
        <v/>
      </c>
      <c r="G17" s="53">
        <f t="shared" si="11"/>
        <v>450</v>
      </c>
      <c r="H17" s="53">
        <f t="shared" si="11"/>
        <v>877.5</v>
      </c>
      <c r="I17" s="53">
        <f t="shared" si="11"/>
        <v>1140.75</v>
      </c>
      <c r="J17" s="53">
        <f t="shared" si="11"/>
        <v>1977.3</v>
      </c>
      <c r="K17" s="53">
        <f t="shared" si="11"/>
        <v>2570.49</v>
      </c>
      <c r="L17" s="53">
        <f t="shared" si="11"/>
        <v>4177.04625</v>
      </c>
      <c r="M17" s="53">
        <f t="shared" si="11"/>
        <v>5430.160125</v>
      </c>
      <c r="N17" s="53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5.75" customHeight="1">
      <c r="A18" s="47" t="s">
        <v>206</v>
      </c>
      <c r="B18" s="53"/>
      <c r="C18" s="53"/>
      <c r="D18" s="53"/>
      <c r="E18" s="53"/>
      <c r="F18" s="53"/>
      <c r="G18" s="53">
        <f t="shared" ref="G18:M18" si="12">F17*G21</f>
        <v>0</v>
      </c>
      <c r="H18" s="53">
        <f t="shared" si="12"/>
        <v>22.5</v>
      </c>
      <c r="I18" s="53">
        <f t="shared" si="12"/>
        <v>43.875</v>
      </c>
      <c r="J18" s="53">
        <f t="shared" si="12"/>
        <v>114.075</v>
      </c>
      <c r="K18" s="53">
        <f t="shared" si="12"/>
        <v>197.73</v>
      </c>
      <c r="L18" s="53">
        <f t="shared" si="12"/>
        <v>257.049</v>
      </c>
      <c r="M18" s="53">
        <f t="shared" si="12"/>
        <v>417.704625</v>
      </c>
      <c r="N18" s="53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5.75" customHeight="1">
      <c r="A19" s="47" t="s">
        <v>207</v>
      </c>
      <c r="B19" s="53"/>
      <c r="C19" s="53"/>
      <c r="D19" s="53"/>
      <c r="E19" s="53"/>
      <c r="F19" s="53">
        <f>F17+F18</f>
        <v>0</v>
      </c>
      <c r="G19" s="53">
        <f t="shared" ref="G19:M19" si="13">G17+G18+G16</f>
        <v>450</v>
      </c>
      <c r="H19" s="53">
        <f t="shared" si="13"/>
        <v>945</v>
      </c>
      <c r="I19" s="53">
        <f t="shared" si="13"/>
        <v>1272.375</v>
      </c>
      <c r="J19" s="53">
        <f t="shared" si="13"/>
        <v>2205.45</v>
      </c>
      <c r="K19" s="53">
        <f t="shared" si="13"/>
        <v>2965.95</v>
      </c>
      <c r="L19" s="53">
        <f t="shared" si="13"/>
        <v>4691.14425</v>
      </c>
      <c r="M19" s="53">
        <f t="shared" si="13"/>
        <v>6265.569375</v>
      </c>
      <c r="N19" s="53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5.75" customHeight="1">
      <c r="A20" s="66" t="s">
        <v>165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47" t="s">
        <v>208</v>
      </c>
      <c r="B21" s="53"/>
      <c r="C21" s="62"/>
      <c r="D21" s="62"/>
      <c r="E21" s="62"/>
      <c r="F21" s="62"/>
      <c r="G21" s="62">
        <v>0.05</v>
      </c>
      <c r="H21" s="62">
        <v>0.05</v>
      </c>
      <c r="I21" s="62">
        <v>0.05</v>
      </c>
      <c r="J21" s="62">
        <v>0.1</v>
      </c>
      <c r="K21" s="62">
        <v>0.1</v>
      </c>
      <c r="L21" s="62">
        <v>0.1</v>
      </c>
      <c r="M21" s="62">
        <v>0.1</v>
      </c>
      <c r="N21" s="62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7" t="s">
        <v>209</v>
      </c>
      <c r="B22" s="53"/>
      <c r="C22" s="53"/>
      <c r="D22" s="53"/>
      <c r="E22" s="53"/>
      <c r="F22" s="53"/>
      <c r="G22" s="65">
        <f t="shared" ref="G22:M22" si="14">G15</f>
        <v>21.296</v>
      </c>
      <c r="H22" s="65">
        <f t="shared" si="14"/>
        <v>22.3608</v>
      </c>
      <c r="I22" s="65">
        <f t="shared" si="14"/>
        <v>23.47884</v>
      </c>
      <c r="J22" s="65">
        <f t="shared" si="14"/>
        <v>24.652782</v>
      </c>
      <c r="K22" s="65">
        <f t="shared" si="14"/>
        <v>25.8854211</v>
      </c>
      <c r="L22" s="65">
        <f t="shared" si="14"/>
        <v>27.17969216</v>
      </c>
      <c r="M22" s="65">
        <f t="shared" si="14"/>
        <v>28.53867676</v>
      </c>
      <c r="N22" s="6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66" t="s">
        <v>210</v>
      </c>
      <c r="B23" s="53"/>
      <c r="C23" s="53">
        <f t="shared" ref="C23:E23" si="15">C19*C22</f>
        <v>0</v>
      </c>
      <c r="D23" s="53">
        <f t="shared" si="15"/>
        <v>0</v>
      </c>
      <c r="E23" s="53">
        <f t="shared" si="15"/>
        <v>0</v>
      </c>
      <c r="F23" s="53">
        <f t="shared" ref="F23:M23" si="16">F22*F19</f>
        <v>0</v>
      </c>
      <c r="G23" s="53">
        <f t="shared" si="16"/>
        <v>9583.2</v>
      </c>
      <c r="H23" s="53">
        <f t="shared" si="16"/>
        <v>21130.956</v>
      </c>
      <c r="I23" s="53">
        <f t="shared" si="16"/>
        <v>29873.88905</v>
      </c>
      <c r="J23" s="53">
        <f t="shared" si="16"/>
        <v>54370.47806</v>
      </c>
      <c r="K23" s="53">
        <f t="shared" si="16"/>
        <v>76774.86471</v>
      </c>
      <c r="L23" s="53">
        <f t="shared" si="16"/>
        <v>127503.8566</v>
      </c>
      <c r="M23" s="53">
        <f t="shared" si="16"/>
        <v>178811.0591</v>
      </c>
      <c r="N23" s="53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56" t="s">
        <v>211</v>
      </c>
      <c r="B24" s="62"/>
      <c r="C24" s="62"/>
      <c r="D24" s="62"/>
      <c r="E24" s="62"/>
      <c r="F24" s="62"/>
      <c r="G24" s="62">
        <f t="shared" ref="G24:M24" si="17">(G23/G26)*100%</f>
        <v>0.3685846154</v>
      </c>
      <c r="H24" s="62">
        <f t="shared" si="17"/>
        <v>0.6916843208</v>
      </c>
      <c r="I24" s="62">
        <f t="shared" si="17"/>
        <v>0.8417551154</v>
      </c>
      <c r="J24" s="62">
        <f t="shared" si="17"/>
        <v>1.337708129</v>
      </c>
      <c r="K24" s="62">
        <f t="shared" si="17"/>
        <v>1.680063389</v>
      </c>
      <c r="L24" s="62">
        <f t="shared" si="17"/>
        <v>2.54374042</v>
      </c>
      <c r="M24" s="62">
        <f t="shared" si="17"/>
        <v>3.367763429</v>
      </c>
      <c r="N24" s="53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56" t="s">
        <v>212</v>
      </c>
      <c r="B25" s="53"/>
      <c r="C25" s="53"/>
      <c r="D25" s="53"/>
      <c r="E25" s="53"/>
      <c r="F25" s="53"/>
      <c r="G25" s="62">
        <f t="shared" ref="G25:M25" si="18">G26/G23</f>
        <v>2.713081225</v>
      </c>
      <c r="H25" s="62">
        <f t="shared" si="18"/>
        <v>1.445746231</v>
      </c>
      <c r="I25" s="62">
        <f t="shared" si="18"/>
        <v>1.187993968</v>
      </c>
      <c r="J25" s="62">
        <f t="shared" si="18"/>
        <v>0.7475472251</v>
      </c>
      <c r="K25" s="62">
        <f t="shared" si="18"/>
        <v>0.5952156369</v>
      </c>
      <c r="L25" s="62">
        <f t="shared" si="18"/>
        <v>0.3931218737</v>
      </c>
      <c r="M25" s="62">
        <f t="shared" si="18"/>
        <v>0.2969329708</v>
      </c>
      <c r="N25" s="62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66" t="s">
        <v>213</v>
      </c>
      <c r="B26" s="53"/>
      <c r="C26" s="53"/>
      <c r="D26" s="53" t="str">
        <f>D4</f>
        <v/>
      </c>
      <c r="E26" s="53"/>
      <c r="F26" s="53" t="str">
        <f>F4</f>
        <v/>
      </c>
      <c r="G26" s="53">
        <f t="shared" ref="G26:M26" si="19">G27+G28</f>
        <v>26000</v>
      </c>
      <c r="H26" s="53">
        <f t="shared" si="19"/>
        <v>30550</v>
      </c>
      <c r="I26" s="53">
        <f t="shared" si="19"/>
        <v>35490</v>
      </c>
      <c r="J26" s="53">
        <f t="shared" si="19"/>
        <v>40644.5</v>
      </c>
      <c r="K26" s="53">
        <f t="shared" si="19"/>
        <v>45697.6</v>
      </c>
      <c r="L26" s="53">
        <f t="shared" si="19"/>
        <v>50124.555</v>
      </c>
      <c r="M26" s="53">
        <f t="shared" si="19"/>
        <v>53094.899</v>
      </c>
      <c r="N26" s="58">
        <f>M26/M23</f>
        <v>0.2969329708</v>
      </c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68" t="s">
        <v>214</v>
      </c>
      <c r="B27" s="53"/>
      <c r="C27" s="53"/>
      <c r="D27" s="53"/>
      <c r="E27" s="53"/>
      <c r="F27" s="53"/>
      <c r="G27" s="53">
        <f t="shared" ref="G27:M27" si="20">G4</f>
        <v>25000</v>
      </c>
      <c r="H27" s="53">
        <f t="shared" si="20"/>
        <v>29250</v>
      </c>
      <c r="I27" s="53">
        <f t="shared" si="20"/>
        <v>33800</v>
      </c>
      <c r="J27" s="53">
        <f t="shared" si="20"/>
        <v>38447.5</v>
      </c>
      <c r="K27" s="53">
        <f t="shared" si="20"/>
        <v>42841.5</v>
      </c>
      <c r="L27" s="53">
        <f t="shared" si="20"/>
        <v>46411.625</v>
      </c>
      <c r="M27" s="53">
        <f t="shared" si="20"/>
        <v>48268.09</v>
      </c>
      <c r="N27" s="58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56" t="s">
        <v>215</v>
      </c>
      <c r="B28" s="53"/>
      <c r="C28" s="62"/>
      <c r="D28" s="62"/>
      <c r="E28" s="62"/>
      <c r="F28" s="62"/>
      <c r="G28" s="69">
        <f t="shared" ref="G28:M28" si="21">G7*10</f>
        <v>1000</v>
      </c>
      <c r="H28" s="69">
        <f t="shared" si="21"/>
        <v>1300</v>
      </c>
      <c r="I28" s="69">
        <f t="shared" si="21"/>
        <v>1690</v>
      </c>
      <c r="J28" s="69">
        <f t="shared" si="21"/>
        <v>2197</v>
      </c>
      <c r="K28" s="69">
        <f t="shared" si="21"/>
        <v>2856.1</v>
      </c>
      <c r="L28" s="69">
        <f t="shared" si="21"/>
        <v>3712.93</v>
      </c>
      <c r="M28" s="69">
        <f t="shared" si="21"/>
        <v>4826.809</v>
      </c>
      <c r="N28" s="58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8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/>
      <c r="B30" s="53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 t="s">
        <v>216</v>
      </c>
      <c r="B31" s="53">
        <f>payroll!B23</f>
        <v>0</v>
      </c>
      <c r="C31" s="53">
        <f>payroll!C23</f>
        <v>0</v>
      </c>
      <c r="D31" s="53">
        <f>payroll!D23</f>
        <v>0</v>
      </c>
      <c r="E31" s="53">
        <f>payroll!E23</f>
        <v>3961.111111</v>
      </c>
      <c r="F31" s="53">
        <f>payroll!F23</f>
        <v>5111.111111</v>
      </c>
      <c r="G31" s="53">
        <f>payroll!G23</f>
        <v>5111.111111</v>
      </c>
      <c r="H31" s="53">
        <f>payroll!H23</f>
        <v>5111.111111</v>
      </c>
      <c r="I31" s="53">
        <f>payroll!I23</f>
        <v>5111.111111</v>
      </c>
      <c r="J31" s="53">
        <f>payroll!J23</f>
        <v>5111.111111</v>
      </c>
      <c r="K31" s="53">
        <f>payroll!K23</f>
        <v>5111.111111</v>
      </c>
      <c r="L31" s="53">
        <f>payroll!L23</f>
        <v>5111.111111</v>
      </c>
      <c r="M31" s="53">
        <f>payroll!M23</f>
        <v>5111.111111</v>
      </c>
      <c r="N31" s="62">
        <f>M31/M23</f>
        <v>0.02858386464</v>
      </c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 t="s">
        <v>217</v>
      </c>
      <c r="B32" s="53">
        <f t="shared" ref="B32:M32" si="22">SUM(B34:B41)+B33</f>
        <v>0.2</v>
      </c>
      <c r="C32" s="53">
        <f t="shared" si="22"/>
        <v>0.2</v>
      </c>
      <c r="D32" s="53">
        <f t="shared" si="22"/>
        <v>0.2</v>
      </c>
      <c r="E32" s="53">
        <f t="shared" si="22"/>
        <v>51000.2</v>
      </c>
      <c r="F32" s="53">
        <f t="shared" si="22"/>
        <v>4000.2</v>
      </c>
      <c r="G32" s="53">
        <f t="shared" si="22"/>
        <v>2416.84</v>
      </c>
      <c r="H32" s="53">
        <f t="shared" si="22"/>
        <v>4726.3912</v>
      </c>
      <c r="I32" s="53">
        <f t="shared" si="22"/>
        <v>53474.97781</v>
      </c>
      <c r="J32" s="53">
        <f t="shared" si="22"/>
        <v>11374.29561</v>
      </c>
      <c r="K32" s="53">
        <f t="shared" si="22"/>
        <v>15855.17294</v>
      </c>
      <c r="L32" s="53">
        <f t="shared" si="22"/>
        <v>26000.97131</v>
      </c>
      <c r="M32" s="53">
        <f t="shared" si="22"/>
        <v>36262.41183</v>
      </c>
      <c r="N32" s="62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 outlineLevel="1">
      <c r="A33" s="47" t="s">
        <v>218</v>
      </c>
      <c r="B33" s="53"/>
      <c r="C33" s="53"/>
      <c r="D33" s="53"/>
      <c r="E33" s="69">
        <v>47000.0</v>
      </c>
      <c r="F33" s="53"/>
      <c r="G33" s="53"/>
      <c r="H33" s="53"/>
      <c r="I33" s="69">
        <v>47000.0</v>
      </c>
      <c r="J33" s="53"/>
      <c r="K33" s="53"/>
      <c r="L33" s="53"/>
      <c r="M33" s="53"/>
      <c r="N33" s="53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 outlineLevel="1">
      <c r="A34" s="47" t="s">
        <v>219</v>
      </c>
      <c r="B34" s="53"/>
      <c r="C34" s="53"/>
      <c r="D34" s="53"/>
      <c r="E34" s="53">
        <v>2000.0</v>
      </c>
      <c r="F34" s="53">
        <v>2000.0</v>
      </c>
      <c r="G34" s="53"/>
      <c r="H34" s="53"/>
      <c r="I34" s="53"/>
      <c r="J34" s="53"/>
      <c r="K34" s="53"/>
      <c r="L34" s="53"/>
      <c r="M34" s="53"/>
      <c r="N34" s="53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 outlineLevel="1">
      <c r="A35" s="47" t="s">
        <v>220</v>
      </c>
      <c r="B35" s="53"/>
      <c r="C35" s="53"/>
      <c r="D35" s="53"/>
      <c r="E35" s="53">
        <v>1000.0</v>
      </c>
      <c r="F35" s="53">
        <v>1000.0</v>
      </c>
      <c r="G35" s="53"/>
      <c r="H35" s="53"/>
      <c r="I35" s="53"/>
      <c r="J35" s="53"/>
      <c r="K35" s="53"/>
      <c r="L35" s="53"/>
      <c r="M35" s="53"/>
      <c r="N35" s="53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 outlineLevel="1">
      <c r="A36" s="47" t="s">
        <v>221</v>
      </c>
      <c r="B36" s="53"/>
      <c r="C36" s="53"/>
      <c r="D36" s="53"/>
      <c r="E36" s="53">
        <v>1000.0</v>
      </c>
      <c r="F36" s="53">
        <v>1000.0</v>
      </c>
      <c r="G36" s="53">
        <v>500.0</v>
      </c>
      <c r="H36" s="53">
        <v>500.0</v>
      </c>
      <c r="I36" s="53">
        <v>500.0</v>
      </c>
      <c r="J36" s="53">
        <v>500.0</v>
      </c>
      <c r="K36" s="53">
        <v>500.0</v>
      </c>
      <c r="L36" s="53">
        <v>500.0</v>
      </c>
      <c r="M36" s="53">
        <v>500.0</v>
      </c>
      <c r="N36" s="53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 outlineLevel="1">
      <c r="A37" s="47" t="s">
        <v>222</v>
      </c>
      <c r="B37" s="64">
        <v>0.2</v>
      </c>
      <c r="C37" s="64">
        <v>0.2</v>
      </c>
      <c r="D37" s="64">
        <v>0.2</v>
      </c>
      <c r="E37" s="64">
        <v>0.2</v>
      </c>
      <c r="F37" s="64">
        <v>0.2</v>
      </c>
      <c r="G37" s="64">
        <v>0.2</v>
      </c>
      <c r="H37" s="64">
        <v>0.2</v>
      </c>
      <c r="I37" s="64">
        <v>0.2</v>
      </c>
      <c r="J37" s="64">
        <v>0.2</v>
      </c>
      <c r="K37" s="64">
        <v>0.2</v>
      </c>
      <c r="L37" s="64">
        <v>0.2</v>
      </c>
      <c r="M37" s="64">
        <v>0.2</v>
      </c>
      <c r="N37" s="53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 outlineLevel="1">
      <c r="A38" s="47" t="s">
        <v>223</v>
      </c>
      <c r="B38" s="59">
        <f t="shared" ref="B38:M38" si="23">B23*B37</f>
        <v>0</v>
      </c>
      <c r="C38" s="59">
        <f t="shared" si="23"/>
        <v>0</v>
      </c>
      <c r="D38" s="59">
        <f t="shared" si="23"/>
        <v>0</v>
      </c>
      <c r="E38" s="59">
        <f t="shared" si="23"/>
        <v>0</v>
      </c>
      <c r="F38" s="59">
        <f t="shared" si="23"/>
        <v>0</v>
      </c>
      <c r="G38" s="59">
        <f t="shared" si="23"/>
        <v>1916.64</v>
      </c>
      <c r="H38" s="59">
        <f t="shared" si="23"/>
        <v>4226.1912</v>
      </c>
      <c r="I38" s="59">
        <f t="shared" si="23"/>
        <v>5974.777809</v>
      </c>
      <c r="J38" s="59">
        <f t="shared" si="23"/>
        <v>10874.09561</v>
      </c>
      <c r="K38" s="59">
        <f t="shared" si="23"/>
        <v>15354.97294</v>
      </c>
      <c r="L38" s="59">
        <f t="shared" si="23"/>
        <v>25500.77131</v>
      </c>
      <c r="M38" s="59">
        <f t="shared" si="23"/>
        <v>35762.21183</v>
      </c>
      <c r="N38" s="53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 outlineLevel="1">
      <c r="A39" s="47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 outlineLevel="1">
      <c r="A40" s="47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 outlineLevel="1">
      <c r="A41" s="47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 t="s">
        <v>224</v>
      </c>
      <c r="B42" s="53">
        <f t="shared" ref="B42:M42" si="24">B19*(B43+B44+B48+B49)+B47+B46</f>
        <v>0</v>
      </c>
      <c r="C42" s="53">
        <f t="shared" si="24"/>
        <v>0</v>
      </c>
      <c r="D42" s="53">
        <f t="shared" si="24"/>
        <v>0</v>
      </c>
      <c r="E42" s="53">
        <f t="shared" si="24"/>
        <v>300</v>
      </c>
      <c r="F42" s="53">
        <f t="shared" si="24"/>
        <v>300</v>
      </c>
      <c r="G42" s="53">
        <f t="shared" si="24"/>
        <v>2257.5</v>
      </c>
      <c r="H42" s="53">
        <f t="shared" si="24"/>
        <v>4399.275</v>
      </c>
      <c r="I42" s="53">
        <f t="shared" si="24"/>
        <v>5798.955</v>
      </c>
      <c r="J42" s="53">
        <f t="shared" si="24"/>
        <v>9826.5045</v>
      </c>
      <c r="K42" s="53">
        <f t="shared" si="24"/>
        <v>13380.3798</v>
      </c>
      <c r="L42" s="53">
        <f t="shared" si="24"/>
        <v>20811.41923</v>
      </c>
      <c r="M42" s="53">
        <f t="shared" si="24"/>
        <v>27544.49647</v>
      </c>
      <c r="N42" s="62">
        <f>M42/M23</f>
        <v>0.1540424659</v>
      </c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 outlineLevel="1">
      <c r="A43" s="47" t="s">
        <v>225</v>
      </c>
      <c r="B43" s="65">
        <v>0.25</v>
      </c>
      <c r="C43" s="65">
        <v>0.25</v>
      </c>
      <c r="D43" s="65">
        <v>0.25</v>
      </c>
      <c r="E43" s="65">
        <v>0.25</v>
      </c>
      <c r="F43" s="65">
        <v>0.25</v>
      </c>
      <c r="G43" s="65">
        <v>0.25</v>
      </c>
      <c r="H43" s="65">
        <v>0.25</v>
      </c>
      <c r="I43" s="65">
        <v>0.25</v>
      </c>
      <c r="J43" s="65">
        <v>0.25</v>
      </c>
      <c r="K43" s="65">
        <v>0.25</v>
      </c>
      <c r="L43" s="65">
        <v>0.25</v>
      </c>
      <c r="M43" s="65">
        <v>0.25</v>
      </c>
      <c r="N43" s="53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 outlineLevel="1">
      <c r="A44" s="47" t="s">
        <v>226</v>
      </c>
      <c r="B44" s="55">
        <v>4.13</v>
      </c>
      <c r="C44" s="55">
        <v>4.13</v>
      </c>
      <c r="D44" s="55">
        <v>4.13</v>
      </c>
      <c r="E44" s="55">
        <v>4.13</v>
      </c>
      <c r="F44" s="55">
        <v>4.13</v>
      </c>
      <c r="G44" s="55">
        <v>4.13</v>
      </c>
      <c r="H44" s="55">
        <v>4.13</v>
      </c>
      <c r="I44" s="55">
        <v>4.13</v>
      </c>
      <c r="J44" s="55">
        <v>4.13</v>
      </c>
      <c r="K44" s="55">
        <v>4.13</v>
      </c>
      <c r="L44" s="55">
        <v>4.13</v>
      </c>
      <c r="M44" s="55">
        <v>4.13</v>
      </c>
      <c r="N44" s="53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 outlineLevel="1">
      <c r="A45" s="47" t="s">
        <v>227</v>
      </c>
      <c r="B45" s="65">
        <v>0.03</v>
      </c>
      <c r="C45" s="65">
        <v>0.03</v>
      </c>
      <c r="D45" s="65">
        <v>0.03</v>
      </c>
      <c r="E45" s="65">
        <v>0.03</v>
      </c>
      <c r="F45" s="65">
        <v>0.03</v>
      </c>
      <c r="G45" s="65">
        <v>0.03</v>
      </c>
      <c r="H45" s="65">
        <v>0.03</v>
      </c>
      <c r="I45" s="65">
        <v>0.03</v>
      </c>
      <c r="J45" s="65">
        <v>0.03</v>
      </c>
      <c r="K45" s="65">
        <v>0.03</v>
      </c>
      <c r="L45" s="65">
        <v>0.03</v>
      </c>
      <c r="M45" s="65">
        <v>0.03</v>
      </c>
      <c r="N45" s="53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 outlineLevel="1">
      <c r="A46" s="47" t="s">
        <v>228</v>
      </c>
      <c r="B46" s="53">
        <f t="shared" ref="B46:M46" si="25">B70*B45</f>
        <v>0</v>
      </c>
      <c r="C46" s="53">
        <f t="shared" si="25"/>
        <v>0</v>
      </c>
      <c r="D46" s="53">
        <f t="shared" si="25"/>
        <v>0</v>
      </c>
      <c r="E46" s="53">
        <f t="shared" si="25"/>
        <v>300</v>
      </c>
      <c r="F46" s="53">
        <f t="shared" si="25"/>
        <v>300</v>
      </c>
      <c r="G46" s="53">
        <f t="shared" si="25"/>
        <v>286.5</v>
      </c>
      <c r="H46" s="53">
        <f t="shared" si="25"/>
        <v>260.175</v>
      </c>
      <c r="I46" s="53">
        <f t="shared" si="25"/>
        <v>225.9525</v>
      </c>
      <c r="J46" s="53">
        <f t="shared" si="25"/>
        <v>166.6335</v>
      </c>
      <c r="K46" s="53">
        <f t="shared" si="25"/>
        <v>389.5188</v>
      </c>
      <c r="L46" s="53">
        <f t="shared" si="25"/>
        <v>264.2074125</v>
      </c>
      <c r="M46" s="53">
        <f t="shared" si="25"/>
        <v>101.3026088</v>
      </c>
      <c r="N46" s="53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 outlineLevel="1">
      <c r="A47" s="47" t="s">
        <v>229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 outlineLevel="1">
      <c r="A48" s="47" t="s">
        <v>230</v>
      </c>
      <c r="B48" s="53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53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 outlineLevel="1">
      <c r="A49" s="47" t="s">
        <v>231</v>
      </c>
      <c r="B49" s="53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53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outlineLevel="1"/>
    <row r="51" outlineLevel="1"/>
    <row r="52" ht="15.75" customHeight="1">
      <c r="A52" s="47" t="s">
        <v>232</v>
      </c>
      <c r="B52" s="53">
        <f t="shared" ref="B52:C52" si="26">sum(B53:B59)</f>
        <v>0</v>
      </c>
      <c r="C52" s="53">
        <f t="shared" si="26"/>
        <v>0</v>
      </c>
      <c r="D52" s="53"/>
      <c r="E52" s="53">
        <f t="shared" ref="E52:M52" si="27">sum(E53:E59)</f>
        <v>2700</v>
      </c>
      <c r="F52" s="53">
        <f t="shared" si="27"/>
        <v>1600</v>
      </c>
      <c r="G52" s="53">
        <f t="shared" si="27"/>
        <v>1600</v>
      </c>
      <c r="H52" s="53">
        <f t="shared" si="27"/>
        <v>1600</v>
      </c>
      <c r="I52" s="53">
        <f t="shared" si="27"/>
        <v>1600</v>
      </c>
      <c r="J52" s="53">
        <f t="shared" si="27"/>
        <v>1600</v>
      </c>
      <c r="K52" s="53">
        <f t="shared" si="27"/>
        <v>1600</v>
      </c>
      <c r="L52" s="53">
        <f t="shared" si="27"/>
        <v>1600</v>
      </c>
      <c r="M52" s="53">
        <f t="shared" si="27"/>
        <v>1600</v>
      </c>
      <c r="N52" s="58">
        <f>M52/M23</f>
        <v>0.008947992411</v>
      </c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 outlineLevel="1">
      <c r="A53" s="47" t="s">
        <v>233</v>
      </c>
      <c r="B53" s="53"/>
      <c r="C53" s="53"/>
      <c r="D53" s="53"/>
      <c r="E53" s="53">
        <v>800.0</v>
      </c>
      <c r="F53" s="53">
        <v>800.0</v>
      </c>
      <c r="G53" s="53">
        <v>800.0</v>
      </c>
      <c r="H53" s="53">
        <v>800.0</v>
      </c>
      <c r="I53" s="53">
        <v>800.0</v>
      </c>
      <c r="J53" s="53">
        <v>800.0</v>
      </c>
      <c r="K53" s="53">
        <v>800.0</v>
      </c>
      <c r="L53" s="53">
        <v>800.0</v>
      </c>
      <c r="M53" s="53">
        <v>800.0</v>
      </c>
      <c r="N53" s="53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 outlineLevel="1">
      <c r="A54" s="47" t="s">
        <v>234</v>
      </c>
      <c r="B54" s="53"/>
      <c r="C54" s="53"/>
      <c r="D54" s="53"/>
      <c r="E54" s="53">
        <v>800.0</v>
      </c>
      <c r="F54" s="53">
        <v>800.0</v>
      </c>
      <c r="G54" s="53">
        <v>800.0</v>
      </c>
      <c r="H54" s="53">
        <v>800.0</v>
      </c>
      <c r="I54" s="53">
        <v>800.0</v>
      </c>
      <c r="J54" s="53">
        <v>800.0</v>
      </c>
      <c r="K54" s="53">
        <v>800.0</v>
      </c>
      <c r="L54" s="53">
        <v>800.0</v>
      </c>
      <c r="M54" s="53">
        <v>800.0</v>
      </c>
      <c r="N54" s="53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 outlineLevel="1">
      <c r="A55" s="47" t="s">
        <v>235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 outlineLevel="1">
      <c r="A56" s="47" t="s">
        <v>236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 outlineLevel="1">
      <c r="A57" s="47" t="s">
        <v>237</v>
      </c>
      <c r="B57" s="53"/>
      <c r="C57" s="53"/>
      <c r="D57" s="53"/>
      <c r="E57" s="69">
        <v>1100.0</v>
      </c>
      <c r="F57" s="53"/>
      <c r="G57" s="53"/>
      <c r="H57" s="53"/>
      <c r="I57" s="53"/>
      <c r="J57" s="53"/>
      <c r="K57" s="53"/>
      <c r="L57" s="53"/>
      <c r="M57" s="53"/>
      <c r="N57" s="53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 outlineLevel="1">
      <c r="A58" s="47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 outlineLevel="1">
      <c r="A59" s="47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 t="s">
        <v>238</v>
      </c>
      <c r="B60" s="53">
        <f t="shared" ref="B60:M60" si="28">B26+B31+B32+B42+B52</f>
        <v>0.2</v>
      </c>
      <c r="C60" s="53">
        <f t="shared" si="28"/>
        <v>0.2</v>
      </c>
      <c r="D60" s="53">
        <f t="shared" si="28"/>
        <v>0.2</v>
      </c>
      <c r="E60" s="53">
        <f t="shared" si="28"/>
        <v>57961.31111</v>
      </c>
      <c r="F60" s="53">
        <f t="shared" si="28"/>
        <v>11011.31111</v>
      </c>
      <c r="G60" s="53">
        <f t="shared" si="28"/>
        <v>37385.45111</v>
      </c>
      <c r="H60" s="53">
        <f t="shared" si="28"/>
        <v>46386.77731</v>
      </c>
      <c r="I60" s="53">
        <f t="shared" si="28"/>
        <v>101475.0439</v>
      </c>
      <c r="J60" s="53">
        <f t="shared" si="28"/>
        <v>68556.41122</v>
      </c>
      <c r="K60" s="53">
        <f t="shared" si="28"/>
        <v>81644.26385</v>
      </c>
      <c r="L60" s="53">
        <f t="shared" si="28"/>
        <v>103648.0567</v>
      </c>
      <c r="M60" s="53">
        <f t="shared" si="28"/>
        <v>123612.9184</v>
      </c>
      <c r="N60" s="62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56" t="s">
        <v>239</v>
      </c>
      <c r="B61" s="53">
        <f t="shared" ref="B61:M61" si="29">B23-B60</f>
        <v>-0.2</v>
      </c>
      <c r="C61" s="53">
        <f t="shared" si="29"/>
        <v>-0.2</v>
      </c>
      <c r="D61" s="53">
        <f t="shared" si="29"/>
        <v>-0.2</v>
      </c>
      <c r="E61" s="53">
        <f t="shared" si="29"/>
        <v>-57961.31111</v>
      </c>
      <c r="F61" s="53">
        <f t="shared" si="29"/>
        <v>-11011.31111</v>
      </c>
      <c r="G61" s="53">
        <f t="shared" si="29"/>
        <v>-27802.25111</v>
      </c>
      <c r="H61" s="53">
        <f t="shared" si="29"/>
        <v>-25255.82131</v>
      </c>
      <c r="I61" s="53">
        <f t="shared" si="29"/>
        <v>-71601.15488</v>
      </c>
      <c r="J61" s="53">
        <f t="shared" si="29"/>
        <v>-14185.93316</v>
      </c>
      <c r="K61" s="53">
        <f t="shared" si="29"/>
        <v>-4869.399142</v>
      </c>
      <c r="L61" s="53">
        <f t="shared" si="29"/>
        <v>23855.79992</v>
      </c>
      <c r="M61" s="53">
        <f t="shared" si="29"/>
        <v>55198.14072</v>
      </c>
      <c r="N61" s="62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56" t="s">
        <v>129</v>
      </c>
      <c r="B62" s="64">
        <v>0.1</v>
      </c>
      <c r="C62" s="64">
        <v>0.1</v>
      </c>
      <c r="D62" s="64">
        <v>0.1</v>
      </c>
      <c r="E62" s="64">
        <v>0.1</v>
      </c>
      <c r="F62" s="64">
        <v>0.1</v>
      </c>
      <c r="G62" s="64">
        <v>0.1</v>
      </c>
      <c r="H62" s="64">
        <v>0.1</v>
      </c>
      <c r="I62" s="64">
        <v>0.1</v>
      </c>
      <c r="J62" s="64">
        <v>0.1</v>
      </c>
      <c r="K62" s="64">
        <v>0.1</v>
      </c>
      <c r="L62" s="64">
        <v>0.1</v>
      </c>
      <c r="M62" s="64">
        <v>0.1</v>
      </c>
      <c r="N62" s="53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56" t="s">
        <v>240</v>
      </c>
      <c r="B63" s="59">
        <f t="shared" ref="B63:C63" si="30">B61*B62</f>
        <v>-0.02</v>
      </c>
      <c r="C63" s="59">
        <f t="shared" si="30"/>
        <v>-0.02</v>
      </c>
      <c r="D63" s="63">
        <v>0.0</v>
      </c>
      <c r="E63" s="63">
        <v>0.0</v>
      </c>
      <c r="F63" s="63">
        <v>0.0</v>
      </c>
      <c r="G63" s="63">
        <v>0.0</v>
      </c>
      <c r="H63" s="59">
        <f>H61*H62</f>
        <v>-2525.582131</v>
      </c>
      <c r="I63" s="63">
        <v>0.0</v>
      </c>
      <c r="J63" s="59">
        <f t="shared" ref="J63:M63" si="31">J61*J62</f>
        <v>-1418.593316</v>
      </c>
      <c r="K63" s="59">
        <f t="shared" si="31"/>
        <v>-486.9399142</v>
      </c>
      <c r="L63" s="59">
        <f t="shared" si="31"/>
        <v>2385.579992</v>
      </c>
      <c r="M63" s="59">
        <f t="shared" si="31"/>
        <v>5519.814072</v>
      </c>
      <c r="N63" s="53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56" t="s">
        <v>241</v>
      </c>
      <c r="B64" s="47"/>
      <c r="C64" s="47"/>
      <c r="D64" s="47"/>
      <c r="E64" s="53">
        <f t="shared" ref="E64:M64" si="32">E61-E63</f>
        <v>-57961.31111</v>
      </c>
      <c r="F64" s="53">
        <f t="shared" si="32"/>
        <v>-11011.31111</v>
      </c>
      <c r="G64" s="53">
        <f t="shared" si="32"/>
        <v>-27802.25111</v>
      </c>
      <c r="H64" s="53">
        <f t="shared" si="32"/>
        <v>-22730.23918</v>
      </c>
      <c r="I64" s="53">
        <f t="shared" si="32"/>
        <v>-71601.15488</v>
      </c>
      <c r="J64" s="53">
        <f t="shared" si="32"/>
        <v>-12767.33985</v>
      </c>
      <c r="K64" s="53">
        <f t="shared" si="32"/>
        <v>-4382.459228</v>
      </c>
      <c r="L64" s="53">
        <f t="shared" si="32"/>
        <v>21470.21993</v>
      </c>
      <c r="M64" s="53">
        <f t="shared" si="32"/>
        <v>49678.32665</v>
      </c>
      <c r="N64" s="53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 t="s">
        <v>171</v>
      </c>
      <c r="B65" s="47"/>
      <c r="C65" s="62"/>
      <c r="D65" s="62"/>
      <c r="E65" s="59">
        <v>100000.0</v>
      </c>
      <c r="F65" s="70"/>
      <c r="G65" s="62"/>
      <c r="H65" s="62"/>
      <c r="I65" s="62"/>
      <c r="J65" s="62"/>
      <c r="K65" s="62"/>
      <c r="L65" s="62"/>
      <c r="M65" s="62"/>
      <c r="N65" s="53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 t="s">
        <v>177</v>
      </c>
      <c r="B66" s="53"/>
      <c r="C66" s="53"/>
      <c r="D66" s="53"/>
      <c r="E66" s="53">
        <f t="shared" ref="E66:M66" si="33">E65+(E61-E63)</f>
        <v>42038.68889</v>
      </c>
      <c r="F66" s="53">
        <f t="shared" si="33"/>
        <v>-11011.31111</v>
      </c>
      <c r="G66" s="53">
        <f t="shared" si="33"/>
        <v>-27802.25111</v>
      </c>
      <c r="H66" s="53">
        <f t="shared" si="33"/>
        <v>-22730.23918</v>
      </c>
      <c r="I66" s="53">
        <f t="shared" si="33"/>
        <v>-71601.15488</v>
      </c>
      <c r="J66" s="53">
        <f t="shared" si="33"/>
        <v>-12767.33985</v>
      </c>
      <c r="K66" s="53">
        <f t="shared" si="33"/>
        <v>-4382.459228</v>
      </c>
      <c r="L66" s="53">
        <f t="shared" si="33"/>
        <v>21470.21993</v>
      </c>
      <c r="M66" s="53">
        <f t="shared" si="33"/>
        <v>49678.32665</v>
      </c>
      <c r="N66" s="62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 t="s">
        <v>141</v>
      </c>
      <c r="B67" s="47"/>
      <c r="C67" s="47"/>
      <c r="D67" s="47"/>
      <c r="E67" s="62" t="str">
        <f t="shared" ref="E67:M67" si="34">IFERROR(E61/E23,"")</f>
        <v/>
      </c>
      <c r="F67" s="62" t="str">
        <f t="shared" si="34"/>
        <v/>
      </c>
      <c r="G67" s="62">
        <f t="shared" si="34"/>
        <v>-2.901144828</v>
      </c>
      <c r="H67" s="62">
        <f t="shared" si="34"/>
        <v>-1.19520486</v>
      </c>
      <c r="I67" s="62">
        <f t="shared" si="34"/>
        <v>-2.396780505</v>
      </c>
      <c r="J67" s="62">
        <f t="shared" si="34"/>
        <v>-0.2609124228</v>
      </c>
      <c r="K67" s="62">
        <f t="shared" si="34"/>
        <v>-0.06342439235</v>
      </c>
      <c r="L67" s="62">
        <f t="shared" si="34"/>
        <v>0.1870986538</v>
      </c>
      <c r="M67" s="62">
        <f t="shared" si="34"/>
        <v>0.3086953401</v>
      </c>
      <c r="N67" s="62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71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 t="s">
        <v>242</v>
      </c>
      <c r="B70" s="53"/>
      <c r="C70" s="53"/>
      <c r="D70" s="53"/>
      <c r="E70" s="69">
        <v>10000.0</v>
      </c>
      <c r="F70" s="69">
        <f t="shared" ref="F70:J70" si="35">E70-F13</f>
        <v>10000</v>
      </c>
      <c r="G70" s="69">
        <f t="shared" si="35"/>
        <v>9550</v>
      </c>
      <c r="H70" s="69">
        <f t="shared" si="35"/>
        <v>8672.5</v>
      </c>
      <c r="I70" s="69">
        <f t="shared" si="35"/>
        <v>7531.75</v>
      </c>
      <c r="J70" s="69">
        <f t="shared" si="35"/>
        <v>5554.45</v>
      </c>
      <c r="K70" s="69">
        <f>J70-K13+10000</f>
        <v>12983.96</v>
      </c>
      <c r="L70" s="69">
        <f t="shared" ref="L70:M70" si="36">K70-L13</f>
        <v>8806.91375</v>
      </c>
      <c r="M70" s="69">
        <f t="shared" si="36"/>
        <v>3376.753625</v>
      </c>
      <c r="N70" s="53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3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74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74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74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74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74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75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74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74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66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 ht="15.75" customHeight="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 ht="15.75" customHeight="1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 ht="15.75" customHeight="1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  <row r="1004" ht="15.75" customHeight="1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</row>
    <row r="1005" ht="15.75" customHeight="1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</row>
    <row r="1006" ht="15.75" customHeight="1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</row>
    <row r="1007" ht="15.75" customHeight="1">
      <c r="A1007" s="47"/>
      <c r="B1007" s="47"/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</row>
    <row r="1008" ht="15.75" customHeight="1">
      <c r="A1008" s="47"/>
      <c r="B1008" s="47"/>
      <c r="C1008" s="47"/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</row>
    <row r="1009" ht="15.75" customHeight="1">
      <c r="A1009" s="47"/>
      <c r="B1009" s="47"/>
      <c r="C1009" s="47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</row>
    <row r="1010" ht="15.75" customHeight="1">
      <c r="A1010" s="47"/>
      <c r="B1010" s="47"/>
      <c r="C1010" s="47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</row>
    <row r="1011" ht="15.75" customHeight="1">
      <c r="A1011" s="47"/>
      <c r="B1011" s="47"/>
      <c r="C1011" s="47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</row>
    <row r="1012" ht="15.75" customHeight="1">
      <c r="A1012" s="47"/>
      <c r="B1012" s="47"/>
      <c r="C1012" s="47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</row>
    <row r="1013" ht="15.75" customHeight="1">
      <c r="A1013" s="47"/>
      <c r="B1013" s="47"/>
      <c r="C1013" s="47"/>
      <c r="D1013" s="47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</row>
    <row r="1014" ht="15.75" customHeight="1">
      <c r="A1014" s="47"/>
      <c r="B1014" s="47"/>
      <c r="C1014" s="47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  <c r="W1014" s="47"/>
      <c r="X1014" s="47"/>
      <c r="Y1014" s="47"/>
      <c r="Z1014" s="47"/>
    </row>
    <row r="1015" ht="15.75" customHeight="1">
      <c r="A1015" s="47"/>
      <c r="B1015" s="47"/>
      <c r="C1015" s="47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  <c r="W1015" s="47"/>
      <c r="X1015" s="47"/>
      <c r="Y1015" s="47"/>
      <c r="Z1015" s="47"/>
    </row>
  </sheetData>
  <mergeCells count="2">
    <mergeCell ref="B1:D1"/>
    <mergeCell ref="K1:M1"/>
  </mergeCells>
  <conditionalFormatting sqref="N62:N65 C65:D65 F65:M65">
    <cfRule type="cellIs" dxfId="0" priority="1" operator="lessThan">
      <formula>0</formula>
    </cfRule>
  </conditionalFormatting>
  <conditionalFormatting sqref="N62:N65 C65:D65 F65:M65">
    <cfRule type="cellIs" dxfId="1" priority="2" operator="greaterThan">
      <formula>0</formula>
    </cfRule>
  </conditionalFormatting>
  <conditionalFormatting sqref="B61:M61 B66:M66">
    <cfRule type="cellIs" dxfId="2" priority="3" operator="greaterThan">
      <formula>0</formula>
    </cfRule>
  </conditionalFormatting>
  <conditionalFormatting sqref="B61:M61 B66:M66">
    <cfRule type="cellIs" dxfId="3" priority="4" operator="lessThan">
      <formula>0</formula>
    </cfRule>
  </conditionalFormatting>
  <conditionalFormatting sqref="B24:M24">
    <cfRule type="cellIs" dxfId="2" priority="5" operator="greaterThan">
      <formula>1</formula>
    </cfRule>
  </conditionalFormatting>
  <conditionalFormatting sqref="B24:M24">
    <cfRule type="cellIs" dxfId="4" priority="6" operator="less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outlinePr summaryBelow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1.22" defaultRowHeight="15.0" outlineLevelRow="1"/>
  <cols>
    <col customWidth="1" min="1" max="1" width="21.89"/>
    <col customWidth="1" min="2" max="5" width="8.33"/>
    <col customWidth="1" min="6" max="8" width="9.11"/>
    <col customWidth="1" min="9" max="9" width="8.33"/>
    <col customWidth="1" min="10" max="10" width="9.11"/>
    <col customWidth="1" min="11" max="12" width="8.33"/>
    <col customWidth="1" min="13" max="13" width="9.0"/>
    <col customWidth="1" min="14" max="14" width="9.11"/>
    <col customWidth="1" min="15" max="15" width="17.11"/>
    <col customWidth="1" min="16" max="26" width="8.33"/>
  </cols>
  <sheetData>
    <row r="1" ht="15.75" customHeight="1">
      <c r="A1" s="41" t="s">
        <v>179</v>
      </c>
      <c r="B1" s="42" t="s">
        <v>67</v>
      </c>
      <c r="E1" s="43" t="s">
        <v>68</v>
      </c>
      <c r="F1" s="43"/>
      <c r="G1" s="43"/>
      <c r="H1" s="44" t="s">
        <v>69</v>
      </c>
      <c r="I1" s="44"/>
      <c r="J1" s="44"/>
      <c r="K1" s="45" t="s">
        <v>70</v>
      </c>
      <c r="N1" s="46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5.75" customHeight="1">
      <c r="A2" s="47"/>
      <c r="B2" s="48">
        <v>2026.0</v>
      </c>
      <c r="C2" s="48">
        <v>2026.0</v>
      </c>
      <c r="D2" s="48">
        <v>2026.0</v>
      </c>
      <c r="E2" s="49">
        <v>2026.0</v>
      </c>
      <c r="F2" s="49">
        <v>2026.0</v>
      </c>
      <c r="G2" s="49">
        <v>2026.0</v>
      </c>
      <c r="H2" s="50">
        <v>2026.0</v>
      </c>
      <c r="I2" s="50">
        <v>2026.0</v>
      </c>
      <c r="J2" s="50">
        <v>2026.0</v>
      </c>
      <c r="K2" s="51">
        <v>2026.0</v>
      </c>
      <c r="L2" s="51">
        <v>2026.0</v>
      </c>
      <c r="M2" s="51">
        <v>2026.0</v>
      </c>
      <c r="N2" s="52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5.75" customHeight="1">
      <c r="A3" s="47"/>
      <c r="B3" s="48" t="s">
        <v>180</v>
      </c>
      <c r="C3" s="48" t="s">
        <v>181</v>
      </c>
      <c r="D3" s="48" t="s">
        <v>182</v>
      </c>
      <c r="E3" s="49" t="s">
        <v>183</v>
      </c>
      <c r="F3" s="49" t="s">
        <v>184</v>
      </c>
      <c r="G3" s="49" t="s">
        <v>185</v>
      </c>
      <c r="H3" s="50" t="s">
        <v>186</v>
      </c>
      <c r="I3" s="50" t="s">
        <v>187</v>
      </c>
      <c r="J3" s="50" t="s">
        <v>188</v>
      </c>
      <c r="K3" s="51" t="s">
        <v>189</v>
      </c>
      <c r="L3" s="51" t="s">
        <v>190</v>
      </c>
      <c r="M3" s="51" t="s">
        <v>191</v>
      </c>
      <c r="N3" s="52"/>
      <c r="O3" s="53" t="s">
        <v>192</v>
      </c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5.75" customHeight="1">
      <c r="A4" s="66" t="s">
        <v>243</v>
      </c>
      <c r="B4" s="53"/>
      <c r="C4" s="53"/>
      <c r="D4" s="53"/>
      <c r="E4" s="53"/>
      <c r="F4" s="53"/>
      <c r="G4" s="53">
        <f t="shared" ref="G4:M4" si="1">G5*G6</f>
        <v>1500</v>
      </c>
      <c r="H4" s="53">
        <f t="shared" si="1"/>
        <v>1950</v>
      </c>
      <c r="I4" s="53">
        <f t="shared" si="1"/>
        <v>2535</v>
      </c>
      <c r="J4" s="53">
        <f t="shared" si="1"/>
        <v>3295.5</v>
      </c>
      <c r="K4" s="53">
        <f t="shared" si="1"/>
        <v>4284.15</v>
      </c>
      <c r="L4" s="53">
        <f t="shared" si="1"/>
        <v>5569.395</v>
      </c>
      <c r="M4" s="53">
        <f t="shared" si="1"/>
        <v>7240.2135</v>
      </c>
      <c r="N4" s="53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5.75" customHeight="1">
      <c r="A5" s="47" t="s">
        <v>194</v>
      </c>
      <c r="B5" s="53"/>
      <c r="C5" s="53"/>
      <c r="D5" s="53"/>
      <c r="E5" s="53"/>
      <c r="F5" s="53"/>
      <c r="G5" s="53">
        <v>5000.0</v>
      </c>
      <c r="H5" s="53">
        <f t="shared" ref="H5:M5" si="2">G5*1.3</f>
        <v>6500</v>
      </c>
      <c r="I5" s="53">
        <f t="shared" si="2"/>
        <v>8450</v>
      </c>
      <c r="J5" s="53">
        <f t="shared" si="2"/>
        <v>10985</v>
      </c>
      <c r="K5" s="53">
        <f t="shared" si="2"/>
        <v>14280.5</v>
      </c>
      <c r="L5" s="53">
        <f t="shared" si="2"/>
        <v>18564.65</v>
      </c>
      <c r="M5" s="53">
        <f t="shared" si="2"/>
        <v>24134.045</v>
      </c>
      <c r="N5" s="53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5.75" customHeight="1">
      <c r="A6" s="47" t="s">
        <v>195</v>
      </c>
      <c r="B6" s="53"/>
      <c r="C6" s="53"/>
      <c r="D6" s="53"/>
      <c r="E6" s="53"/>
      <c r="F6" s="53"/>
      <c r="G6" s="65">
        <v>0.3</v>
      </c>
      <c r="H6" s="65">
        <v>0.3</v>
      </c>
      <c r="I6" s="65">
        <v>0.3</v>
      </c>
      <c r="J6" s="65">
        <v>0.3</v>
      </c>
      <c r="K6" s="65">
        <v>0.3</v>
      </c>
      <c r="L6" s="65">
        <v>0.3</v>
      </c>
      <c r="M6" s="65">
        <v>0.3</v>
      </c>
      <c r="N6" s="53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5.75" customHeight="1">
      <c r="A7" s="47" t="s">
        <v>197</v>
      </c>
      <c r="B7" s="53"/>
      <c r="C7" s="53"/>
      <c r="D7" s="53"/>
      <c r="E7" s="53"/>
      <c r="F7" s="53"/>
      <c r="G7" s="53">
        <v>3000.0</v>
      </c>
      <c r="H7" s="53">
        <v>3000.0</v>
      </c>
      <c r="I7" s="53">
        <v>3000.0</v>
      </c>
      <c r="J7" s="53">
        <v>3000.0</v>
      </c>
      <c r="K7" s="53">
        <v>3000.0</v>
      </c>
      <c r="L7" s="53">
        <v>3000.0</v>
      </c>
      <c r="M7" s="53">
        <v>3000.0</v>
      </c>
      <c r="N7" s="53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5.75" customHeight="1">
      <c r="A8" s="47" t="s">
        <v>198</v>
      </c>
      <c r="B8" s="53"/>
      <c r="C8" s="57"/>
      <c r="D8" s="58"/>
      <c r="E8" s="58"/>
      <c r="F8" s="58"/>
      <c r="G8" s="59">
        <f t="shared" ref="G8:M8" si="3">G7*G5</f>
        <v>15000000</v>
      </c>
      <c r="H8" s="59">
        <f t="shared" si="3"/>
        <v>19500000</v>
      </c>
      <c r="I8" s="59">
        <f t="shared" si="3"/>
        <v>25350000</v>
      </c>
      <c r="J8" s="59">
        <f t="shared" si="3"/>
        <v>32955000</v>
      </c>
      <c r="K8" s="59">
        <f t="shared" si="3"/>
        <v>42841500</v>
      </c>
      <c r="L8" s="59">
        <f t="shared" si="3"/>
        <v>55693950</v>
      </c>
      <c r="M8" s="59">
        <f t="shared" si="3"/>
        <v>72402135</v>
      </c>
      <c r="N8" s="5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5.75" customHeight="1">
      <c r="A9" s="47" t="s">
        <v>84</v>
      </c>
      <c r="B9" s="47"/>
      <c r="C9" s="47"/>
      <c r="D9" s="47"/>
      <c r="E9" s="60"/>
      <c r="F9" s="60"/>
      <c r="G9" s="61">
        <v>0.0015</v>
      </c>
      <c r="H9" s="61">
        <v>0.0015</v>
      </c>
      <c r="I9" s="61">
        <v>0.0015</v>
      </c>
      <c r="J9" s="61">
        <v>0.0015</v>
      </c>
      <c r="K9" s="61">
        <v>0.0015</v>
      </c>
      <c r="L9" s="61">
        <v>0.0015</v>
      </c>
      <c r="M9" s="61">
        <v>0.0015</v>
      </c>
      <c r="N9" s="53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5.75" customHeight="1">
      <c r="A10" s="56" t="s">
        <v>199</v>
      </c>
      <c r="B10" s="53"/>
      <c r="C10" s="62"/>
      <c r="D10" s="53"/>
      <c r="E10" s="53"/>
      <c r="F10" s="53"/>
      <c r="G10" s="63">
        <f t="shared" ref="G10:M10" si="4">G8*G9</f>
        <v>22500</v>
      </c>
      <c r="H10" s="63">
        <f t="shared" si="4"/>
        <v>29250</v>
      </c>
      <c r="I10" s="63">
        <f t="shared" si="4"/>
        <v>38025</v>
      </c>
      <c r="J10" s="63">
        <f t="shared" si="4"/>
        <v>49432.5</v>
      </c>
      <c r="K10" s="63">
        <f t="shared" si="4"/>
        <v>64262.25</v>
      </c>
      <c r="L10" s="63">
        <f t="shared" si="4"/>
        <v>83540.925</v>
      </c>
      <c r="M10" s="63">
        <f t="shared" si="4"/>
        <v>108603.2025</v>
      </c>
      <c r="N10" s="53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5.75" customHeight="1">
      <c r="A11" s="56" t="s">
        <v>200</v>
      </c>
      <c r="B11" s="53"/>
      <c r="C11" s="62"/>
      <c r="D11" s="53"/>
      <c r="E11" s="53"/>
      <c r="F11" s="53"/>
      <c r="G11" s="64">
        <v>0.02</v>
      </c>
      <c r="H11" s="64">
        <v>0.03</v>
      </c>
      <c r="I11" s="64">
        <v>0.03</v>
      </c>
      <c r="J11" s="64">
        <v>0.04</v>
      </c>
      <c r="K11" s="64">
        <v>0.04</v>
      </c>
      <c r="L11" s="64">
        <v>0.05</v>
      </c>
      <c r="M11" s="64">
        <v>0.05</v>
      </c>
      <c r="N11" s="53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5.75" customHeight="1">
      <c r="A12" s="56" t="s">
        <v>201</v>
      </c>
      <c r="B12" s="53"/>
      <c r="C12" s="62"/>
      <c r="D12" s="57"/>
      <c r="E12" s="62"/>
      <c r="F12" s="62"/>
      <c r="G12" s="59">
        <f t="shared" ref="G12:M12" si="5">G10*G11</f>
        <v>450</v>
      </c>
      <c r="H12" s="59">
        <f t="shared" si="5"/>
        <v>877.5</v>
      </c>
      <c r="I12" s="59">
        <f t="shared" si="5"/>
        <v>1140.75</v>
      </c>
      <c r="J12" s="59">
        <f t="shared" si="5"/>
        <v>1977.3</v>
      </c>
      <c r="K12" s="59">
        <f t="shared" si="5"/>
        <v>2570.49</v>
      </c>
      <c r="L12" s="59">
        <f t="shared" si="5"/>
        <v>4177.04625</v>
      </c>
      <c r="M12" s="59">
        <f t="shared" si="5"/>
        <v>5430.160125</v>
      </c>
      <c r="N12" s="62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5.75" customHeight="1">
      <c r="A13" s="56" t="s">
        <v>203</v>
      </c>
      <c r="B13" s="53"/>
      <c r="C13" s="53"/>
      <c r="D13" s="53"/>
      <c r="E13" s="53"/>
      <c r="F13" s="53"/>
      <c r="G13" s="65">
        <f>AVERAGE('Заводы + Юнит эк.'!AN4:AN8)</f>
        <v>21.296</v>
      </c>
      <c r="H13" s="65">
        <f t="shared" ref="H13:M13" si="6">G13*1.05</f>
        <v>22.3608</v>
      </c>
      <c r="I13" s="65">
        <f t="shared" si="6"/>
        <v>23.47884</v>
      </c>
      <c r="J13" s="65">
        <f t="shared" si="6"/>
        <v>24.652782</v>
      </c>
      <c r="K13" s="65">
        <f t="shared" si="6"/>
        <v>25.8854211</v>
      </c>
      <c r="L13" s="65">
        <f t="shared" si="6"/>
        <v>27.17969216</v>
      </c>
      <c r="M13" s="65">
        <f t="shared" si="6"/>
        <v>28.53867676</v>
      </c>
      <c r="N13" s="53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5.75" customHeight="1">
      <c r="A14" s="56" t="s">
        <v>204</v>
      </c>
      <c r="B14" s="53"/>
      <c r="C14" s="58"/>
      <c r="D14" s="58"/>
      <c r="E14" s="58"/>
      <c r="F14" s="58"/>
      <c r="G14" s="58"/>
      <c r="H14" s="59">
        <f t="shared" ref="H14:M14" si="7">G15*0.1</f>
        <v>45</v>
      </c>
      <c r="I14" s="59">
        <f t="shared" si="7"/>
        <v>87.75</v>
      </c>
      <c r="J14" s="59">
        <f t="shared" si="7"/>
        <v>114.075</v>
      </c>
      <c r="K14" s="59">
        <f t="shared" si="7"/>
        <v>197.73</v>
      </c>
      <c r="L14" s="59">
        <f t="shared" si="7"/>
        <v>257.049</v>
      </c>
      <c r="M14" s="59">
        <f t="shared" si="7"/>
        <v>417.704625</v>
      </c>
      <c r="N14" s="58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5.75" customHeight="1">
      <c r="A15" s="56" t="s">
        <v>205</v>
      </c>
      <c r="B15" s="53"/>
      <c r="C15" s="53"/>
      <c r="D15" s="53"/>
      <c r="E15" s="53"/>
      <c r="F15" s="53" t="str">
        <f t="shared" ref="F15:M15" si="8">F12</f>
        <v/>
      </c>
      <c r="G15" s="53">
        <f t="shared" si="8"/>
        <v>450</v>
      </c>
      <c r="H15" s="53">
        <f t="shared" si="8"/>
        <v>877.5</v>
      </c>
      <c r="I15" s="53">
        <f t="shared" si="8"/>
        <v>1140.75</v>
      </c>
      <c r="J15" s="53">
        <f t="shared" si="8"/>
        <v>1977.3</v>
      </c>
      <c r="K15" s="53">
        <f t="shared" si="8"/>
        <v>2570.49</v>
      </c>
      <c r="L15" s="53">
        <f t="shared" si="8"/>
        <v>4177.04625</v>
      </c>
      <c r="M15" s="53">
        <f t="shared" si="8"/>
        <v>5430.160125</v>
      </c>
      <c r="N15" s="53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A16" s="47" t="s">
        <v>206</v>
      </c>
      <c r="B16" s="53"/>
      <c r="C16" s="53"/>
      <c r="D16" s="53"/>
      <c r="E16" s="53"/>
      <c r="F16" s="53"/>
      <c r="G16" s="53">
        <f t="shared" ref="G16:M16" si="9">F15*G19</f>
        <v>0</v>
      </c>
      <c r="H16" s="53">
        <f t="shared" si="9"/>
        <v>22.5</v>
      </c>
      <c r="I16" s="53">
        <f t="shared" si="9"/>
        <v>43.875</v>
      </c>
      <c r="J16" s="53">
        <f t="shared" si="9"/>
        <v>114.075</v>
      </c>
      <c r="K16" s="53">
        <f t="shared" si="9"/>
        <v>197.73</v>
      </c>
      <c r="L16" s="53">
        <f t="shared" si="9"/>
        <v>257.049</v>
      </c>
      <c r="M16" s="53">
        <f t="shared" si="9"/>
        <v>417.704625</v>
      </c>
      <c r="N16" s="53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5.75" customHeight="1">
      <c r="A17" s="47" t="s">
        <v>207</v>
      </c>
      <c r="B17" s="53"/>
      <c r="C17" s="53"/>
      <c r="D17" s="53"/>
      <c r="E17" s="53"/>
      <c r="F17" s="53">
        <f>F15+F16</f>
        <v>0</v>
      </c>
      <c r="G17" s="53">
        <f t="shared" ref="G17:M17" si="10">G15+G16+G14</f>
        <v>450</v>
      </c>
      <c r="H17" s="53">
        <f t="shared" si="10"/>
        <v>945</v>
      </c>
      <c r="I17" s="53">
        <f t="shared" si="10"/>
        <v>1272.375</v>
      </c>
      <c r="J17" s="53">
        <f t="shared" si="10"/>
        <v>2205.45</v>
      </c>
      <c r="K17" s="53">
        <f t="shared" si="10"/>
        <v>2965.95</v>
      </c>
      <c r="L17" s="53">
        <f t="shared" si="10"/>
        <v>4691.14425</v>
      </c>
      <c r="M17" s="53">
        <f t="shared" si="10"/>
        <v>6265.569375</v>
      </c>
      <c r="N17" s="53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5.75" customHeight="1">
      <c r="A18" s="66" t="s">
        <v>165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5.75" customHeight="1">
      <c r="A19" s="47" t="s">
        <v>208</v>
      </c>
      <c r="B19" s="53"/>
      <c r="C19" s="62"/>
      <c r="D19" s="62"/>
      <c r="E19" s="62"/>
      <c r="F19" s="62"/>
      <c r="G19" s="62">
        <v>0.05</v>
      </c>
      <c r="H19" s="62">
        <v>0.05</v>
      </c>
      <c r="I19" s="62">
        <v>0.05</v>
      </c>
      <c r="J19" s="62">
        <v>0.1</v>
      </c>
      <c r="K19" s="62">
        <v>0.1</v>
      </c>
      <c r="L19" s="62">
        <v>0.1</v>
      </c>
      <c r="M19" s="62">
        <v>0.1</v>
      </c>
      <c r="N19" s="62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5.75" customHeight="1">
      <c r="A20" s="47" t="s">
        <v>209</v>
      </c>
      <c r="B20" s="53"/>
      <c r="C20" s="53"/>
      <c r="D20" s="53"/>
      <c r="E20" s="53"/>
      <c r="F20" s="53"/>
      <c r="G20" s="65">
        <f t="shared" ref="G20:M20" si="11">G13</f>
        <v>21.296</v>
      </c>
      <c r="H20" s="65">
        <f t="shared" si="11"/>
        <v>22.3608</v>
      </c>
      <c r="I20" s="65">
        <f t="shared" si="11"/>
        <v>23.47884</v>
      </c>
      <c r="J20" s="65">
        <f t="shared" si="11"/>
        <v>24.652782</v>
      </c>
      <c r="K20" s="65">
        <f t="shared" si="11"/>
        <v>25.8854211</v>
      </c>
      <c r="L20" s="65">
        <f t="shared" si="11"/>
        <v>27.17969216</v>
      </c>
      <c r="M20" s="65">
        <f t="shared" si="11"/>
        <v>28.53867676</v>
      </c>
      <c r="N20" s="6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66" t="s">
        <v>210</v>
      </c>
      <c r="B21" s="53"/>
      <c r="C21" s="53">
        <f t="shared" ref="C21:E21" si="12">C17*C20</f>
        <v>0</v>
      </c>
      <c r="D21" s="53">
        <f t="shared" si="12"/>
        <v>0</v>
      </c>
      <c r="E21" s="53">
        <f t="shared" si="12"/>
        <v>0</v>
      </c>
      <c r="F21" s="53">
        <f t="shared" ref="F21:M21" si="13">F20*F17</f>
        <v>0</v>
      </c>
      <c r="G21" s="53">
        <f t="shared" si="13"/>
        <v>9583.2</v>
      </c>
      <c r="H21" s="53">
        <f t="shared" si="13"/>
        <v>21130.956</v>
      </c>
      <c r="I21" s="53">
        <f t="shared" si="13"/>
        <v>29873.88905</v>
      </c>
      <c r="J21" s="53">
        <f t="shared" si="13"/>
        <v>54370.47806</v>
      </c>
      <c r="K21" s="53">
        <f t="shared" si="13"/>
        <v>76774.86471</v>
      </c>
      <c r="L21" s="53">
        <f t="shared" si="13"/>
        <v>127503.8566</v>
      </c>
      <c r="M21" s="53">
        <f t="shared" si="13"/>
        <v>178811.0591</v>
      </c>
      <c r="N21" s="53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56" t="s">
        <v>81</v>
      </c>
      <c r="B22" s="62"/>
      <c r="C22" s="62"/>
      <c r="D22" s="62"/>
      <c r="E22" s="62"/>
      <c r="F22" s="62"/>
      <c r="G22" s="76">
        <f>G4/G12</f>
        <v>3.333333333</v>
      </c>
      <c r="H22" s="62"/>
      <c r="I22" s="62"/>
      <c r="J22" s="62"/>
      <c r="K22" s="62"/>
      <c r="L22" s="62"/>
      <c r="M22" s="62"/>
      <c r="N22" s="53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7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62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47" t="s">
        <v>213</v>
      </c>
      <c r="B24" s="53"/>
      <c r="C24" s="53"/>
      <c r="D24" s="53" t="str">
        <f>D4</f>
        <v/>
      </c>
      <c r="E24" s="53"/>
      <c r="F24" s="53" t="str">
        <f t="shared" ref="F24:M24" si="14">F4</f>
        <v/>
      </c>
      <c r="G24" s="53">
        <f t="shared" si="14"/>
        <v>1500</v>
      </c>
      <c r="H24" s="53">
        <f t="shared" si="14"/>
        <v>1950</v>
      </c>
      <c r="I24" s="53">
        <f t="shared" si="14"/>
        <v>2535</v>
      </c>
      <c r="J24" s="53">
        <f t="shared" si="14"/>
        <v>3295.5</v>
      </c>
      <c r="K24" s="53">
        <f t="shared" si="14"/>
        <v>4284.15</v>
      </c>
      <c r="L24" s="53">
        <f t="shared" si="14"/>
        <v>5569.395</v>
      </c>
      <c r="M24" s="53">
        <f t="shared" si="14"/>
        <v>7240.2135</v>
      </c>
      <c r="N24" s="58">
        <f>M24/M21</f>
        <v>0.04049085966</v>
      </c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hidden="1" customHeight="1">
      <c r="A25" s="66" t="s">
        <v>172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8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hidden="1" customHeight="1">
      <c r="A26" s="47" t="s">
        <v>244</v>
      </c>
      <c r="B26" s="53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58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hidden="1" customHeight="1">
      <c r="A27" s="47" t="s">
        <v>245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8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hidden="1" customHeight="1">
      <c r="A28" s="47" t="s">
        <v>174</v>
      </c>
      <c r="B28" s="53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 t="s">
        <v>216</v>
      </c>
      <c r="B29" s="53">
        <f>payroll!B23</f>
        <v>0</v>
      </c>
      <c r="C29" s="53">
        <f>payroll!C23</f>
        <v>0</v>
      </c>
      <c r="D29" s="53">
        <f>payroll!D23</f>
        <v>0</v>
      </c>
      <c r="E29" s="53">
        <f>payroll!E23</f>
        <v>3961.111111</v>
      </c>
      <c r="F29" s="53">
        <f>payroll!F23</f>
        <v>5111.111111</v>
      </c>
      <c r="G29" s="53">
        <f>payroll!G23</f>
        <v>5111.111111</v>
      </c>
      <c r="H29" s="53">
        <f>payroll!H23</f>
        <v>5111.111111</v>
      </c>
      <c r="I29" s="53">
        <f>payroll!I23</f>
        <v>5111.111111</v>
      </c>
      <c r="J29" s="53">
        <f>payroll!J23</f>
        <v>5111.111111</v>
      </c>
      <c r="K29" s="53">
        <f>payroll!K23</f>
        <v>5111.111111</v>
      </c>
      <c r="L29" s="53">
        <f>payroll!L23</f>
        <v>5111.111111</v>
      </c>
      <c r="M29" s="53">
        <f>payroll!M23</f>
        <v>5111.111111</v>
      </c>
      <c r="N29" s="62">
        <f>M29/M21</f>
        <v>0.02858386464</v>
      </c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 t="s">
        <v>217</v>
      </c>
      <c r="B30" s="53">
        <f t="shared" ref="B30:M30" si="15">SUM(B32:B39)+B31</f>
        <v>0.2</v>
      </c>
      <c r="C30" s="53">
        <f t="shared" si="15"/>
        <v>0.2</v>
      </c>
      <c r="D30" s="53">
        <f t="shared" si="15"/>
        <v>0.2</v>
      </c>
      <c r="E30" s="53">
        <f t="shared" si="15"/>
        <v>51000.2</v>
      </c>
      <c r="F30" s="53">
        <f t="shared" si="15"/>
        <v>4000.2</v>
      </c>
      <c r="G30" s="53">
        <f t="shared" si="15"/>
        <v>2416.84</v>
      </c>
      <c r="H30" s="53">
        <f t="shared" si="15"/>
        <v>4726.3912</v>
      </c>
      <c r="I30" s="53">
        <f t="shared" si="15"/>
        <v>53474.97781</v>
      </c>
      <c r="J30" s="53">
        <f t="shared" si="15"/>
        <v>11374.29561</v>
      </c>
      <c r="K30" s="53">
        <f t="shared" si="15"/>
        <v>15855.17294</v>
      </c>
      <c r="L30" s="53">
        <f t="shared" si="15"/>
        <v>26000.97131</v>
      </c>
      <c r="M30" s="53">
        <f t="shared" si="15"/>
        <v>36262.41183</v>
      </c>
      <c r="N30" s="62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 outlineLevel="1">
      <c r="A31" s="47" t="s">
        <v>218</v>
      </c>
      <c r="B31" s="53"/>
      <c r="C31" s="53"/>
      <c r="D31" s="53"/>
      <c r="E31" s="69">
        <v>47000.0</v>
      </c>
      <c r="F31" s="53"/>
      <c r="G31" s="53"/>
      <c r="H31" s="53"/>
      <c r="I31" s="69">
        <v>47000.0</v>
      </c>
      <c r="J31" s="53"/>
      <c r="K31" s="53"/>
      <c r="L31" s="53"/>
      <c r="M31" s="53"/>
      <c r="N31" s="53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 outlineLevel="1">
      <c r="A32" s="47" t="s">
        <v>219</v>
      </c>
      <c r="B32" s="53"/>
      <c r="C32" s="53"/>
      <c r="D32" s="53"/>
      <c r="E32" s="53">
        <v>2000.0</v>
      </c>
      <c r="F32" s="53">
        <v>2000.0</v>
      </c>
      <c r="G32" s="53"/>
      <c r="H32" s="53"/>
      <c r="I32" s="53"/>
      <c r="J32" s="53"/>
      <c r="K32" s="53"/>
      <c r="L32" s="53"/>
      <c r="M32" s="53"/>
      <c r="N32" s="53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 outlineLevel="1">
      <c r="A33" s="47" t="s">
        <v>220</v>
      </c>
      <c r="B33" s="53"/>
      <c r="C33" s="53"/>
      <c r="D33" s="53"/>
      <c r="E33" s="53">
        <v>1000.0</v>
      </c>
      <c r="F33" s="53">
        <v>1000.0</v>
      </c>
      <c r="G33" s="53"/>
      <c r="H33" s="53"/>
      <c r="I33" s="53"/>
      <c r="J33" s="53"/>
      <c r="K33" s="53"/>
      <c r="L33" s="53"/>
      <c r="M33" s="53"/>
      <c r="N33" s="53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 outlineLevel="1">
      <c r="A34" s="47" t="s">
        <v>221</v>
      </c>
      <c r="B34" s="53"/>
      <c r="C34" s="53"/>
      <c r="D34" s="53"/>
      <c r="E34" s="53">
        <v>1000.0</v>
      </c>
      <c r="F34" s="53">
        <v>1000.0</v>
      </c>
      <c r="G34" s="53">
        <v>500.0</v>
      </c>
      <c r="H34" s="53">
        <v>500.0</v>
      </c>
      <c r="I34" s="53">
        <v>500.0</v>
      </c>
      <c r="J34" s="53">
        <v>500.0</v>
      </c>
      <c r="K34" s="53">
        <v>500.0</v>
      </c>
      <c r="L34" s="53">
        <v>500.0</v>
      </c>
      <c r="M34" s="53">
        <v>500.0</v>
      </c>
      <c r="N34" s="53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 outlineLevel="1">
      <c r="A35" s="47" t="s">
        <v>222</v>
      </c>
      <c r="B35" s="64">
        <v>0.2</v>
      </c>
      <c r="C35" s="64">
        <v>0.2</v>
      </c>
      <c r="D35" s="64">
        <v>0.2</v>
      </c>
      <c r="E35" s="64">
        <v>0.2</v>
      </c>
      <c r="F35" s="64">
        <v>0.2</v>
      </c>
      <c r="G35" s="64">
        <v>0.2</v>
      </c>
      <c r="H35" s="64">
        <v>0.2</v>
      </c>
      <c r="I35" s="64">
        <v>0.2</v>
      </c>
      <c r="J35" s="64">
        <v>0.2</v>
      </c>
      <c r="K35" s="64">
        <v>0.2</v>
      </c>
      <c r="L35" s="64">
        <v>0.2</v>
      </c>
      <c r="M35" s="64">
        <v>0.2</v>
      </c>
      <c r="N35" s="53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 outlineLevel="1">
      <c r="A36" s="47" t="s">
        <v>223</v>
      </c>
      <c r="B36" s="59">
        <f t="shared" ref="B36:M36" si="16">B21*B35</f>
        <v>0</v>
      </c>
      <c r="C36" s="59">
        <f t="shared" si="16"/>
        <v>0</v>
      </c>
      <c r="D36" s="59">
        <f t="shared" si="16"/>
        <v>0</v>
      </c>
      <c r="E36" s="59">
        <f t="shared" si="16"/>
        <v>0</v>
      </c>
      <c r="F36" s="59">
        <f t="shared" si="16"/>
        <v>0</v>
      </c>
      <c r="G36" s="59">
        <f t="shared" si="16"/>
        <v>1916.64</v>
      </c>
      <c r="H36" s="59">
        <f t="shared" si="16"/>
        <v>4226.1912</v>
      </c>
      <c r="I36" s="59">
        <f t="shared" si="16"/>
        <v>5974.777809</v>
      </c>
      <c r="J36" s="59">
        <f t="shared" si="16"/>
        <v>10874.09561</v>
      </c>
      <c r="K36" s="59">
        <f t="shared" si="16"/>
        <v>15354.97294</v>
      </c>
      <c r="L36" s="59">
        <f t="shared" si="16"/>
        <v>25500.77131</v>
      </c>
      <c r="M36" s="59">
        <f t="shared" si="16"/>
        <v>35762.21183</v>
      </c>
      <c r="N36" s="53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 outlineLevel="1">
      <c r="A37" s="47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 outlineLevel="1">
      <c r="A38" s="47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 outlineLevel="1">
      <c r="A39" s="47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 t="s">
        <v>224</v>
      </c>
      <c r="B40" s="53">
        <f t="shared" ref="B40:M40" si="17">B17*(B41+B42+B46+B47)+B45+B44</f>
        <v>0</v>
      </c>
      <c r="C40" s="53">
        <f t="shared" si="17"/>
        <v>0</v>
      </c>
      <c r="D40" s="53">
        <f t="shared" si="17"/>
        <v>0</v>
      </c>
      <c r="E40" s="53">
        <f t="shared" si="17"/>
        <v>300</v>
      </c>
      <c r="F40" s="53">
        <f t="shared" si="17"/>
        <v>300</v>
      </c>
      <c r="G40" s="53">
        <f t="shared" si="17"/>
        <v>2257.5</v>
      </c>
      <c r="H40" s="53">
        <f t="shared" si="17"/>
        <v>4399.275</v>
      </c>
      <c r="I40" s="53">
        <f t="shared" si="17"/>
        <v>5798.955</v>
      </c>
      <c r="J40" s="53">
        <f t="shared" si="17"/>
        <v>9826.5045</v>
      </c>
      <c r="K40" s="53">
        <f t="shared" si="17"/>
        <v>13380.3798</v>
      </c>
      <c r="L40" s="53">
        <f t="shared" si="17"/>
        <v>20811.41923</v>
      </c>
      <c r="M40" s="53">
        <f t="shared" si="17"/>
        <v>27544.49647</v>
      </c>
      <c r="N40" s="62">
        <f>M40/M21</f>
        <v>0.1540424659</v>
      </c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 outlineLevel="1">
      <c r="A41" s="47" t="s">
        <v>225</v>
      </c>
      <c r="B41" s="65">
        <v>0.25</v>
      </c>
      <c r="C41" s="65">
        <v>0.25</v>
      </c>
      <c r="D41" s="65">
        <v>0.25</v>
      </c>
      <c r="E41" s="65">
        <v>0.25</v>
      </c>
      <c r="F41" s="65">
        <v>0.25</v>
      </c>
      <c r="G41" s="65">
        <v>0.25</v>
      </c>
      <c r="H41" s="65">
        <v>0.25</v>
      </c>
      <c r="I41" s="65">
        <v>0.25</v>
      </c>
      <c r="J41" s="65">
        <v>0.25</v>
      </c>
      <c r="K41" s="65">
        <v>0.25</v>
      </c>
      <c r="L41" s="65">
        <v>0.25</v>
      </c>
      <c r="M41" s="65">
        <v>0.25</v>
      </c>
      <c r="N41" s="53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 outlineLevel="1">
      <c r="A42" s="47" t="s">
        <v>226</v>
      </c>
      <c r="B42" s="55">
        <v>4.13</v>
      </c>
      <c r="C42" s="55">
        <v>4.13</v>
      </c>
      <c r="D42" s="55">
        <v>4.13</v>
      </c>
      <c r="E42" s="55">
        <v>4.13</v>
      </c>
      <c r="F42" s="55">
        <v>4.13</v>
      </c>
      <c r="G42" s="55">
        <v>4.13</v>
      </c>
      <c r="H42" s="55">
        <v>4.13</v>
      </c>
      <c r="I42" s="55">
        <v>4.13</v>
      </c>
      <c r="J42" s="55">
        <v>4.13</v>
      </c>
      <c r="K42" s="55">
        <v>4.13</v>
      </c>
      <c r="L42" s="55">
        <v>4.13</v>
      </c>
      <c r="M42" s="55">
        <v>4.13</v>
      </c>
      <c r="N42" s="53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 outlineLevel="1">
      <c r="A43" s="47" t="s">
        <v>227</v>
      </c>
      <c r="B43" s="65">
        <v>0.03</v>
      </c>
      <c r="C43" s="65">
        <v>0.03</v>
      </c>
      <c r="D43" s="65">
        <v>0.03</v>
      </c>
      <c r="E43" s="65">
        <v>0.03</v>
      </c>
      <c r="F43" s="65">
        <v>0.03</v>
      </c>
      <c r="G43" s="65">
        <v>0.03</v>
      </c>
      <c r="H43" s="65">
        <v>0.03</v>
      </c>
      <c r="I43" s="65">
        <v>0.03</v>
      </c>
      <c r="J43" s="65">
        <v>0.03</v>
      </c>
      <c r="K43" s="65">
        <v>0.03</v>
      </c>
      <c r="L43" s="65">
        <v>0.03</v>
      </c>
      <c r="M43" s="65">
        <v>0.03</v>
      </c>
      <c r="N43" s="53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 outlineLevel="1">
      <c r="A44" s="47" t="s">
        <v>228</v>
      </c>
      <c r="B44" s="53">
        <f t="shared" ref="B44:M44" si="18">B68*B43</f>
        <v>0</v>
      </c>
      <c r="C44" s="53">
        <f t="shared" si="18"/>
        <v>0</v>
      </c>
      <c r="D44" s="53">
        <f t="shared" si="18"/>
        <v>0</v>
      </c>
      <c r="E44" s="53">
        <f t="shared" si="18"/>
        <v>300</v>
      </c>
      <c r="F44" s="53">
        <f t="shared" si="18"/>
        <v>300</v>
      </c>
      <c r="G44" s="53">
        <f t="shared" si="18"/>
        <v>286.5</v>
      </c>
      <c r="H44" s="53">
        <f t="shared" si="18"/>
        <v>260.175</v>
      </c>
      <c r="I44" s="53">
        <f t="shared" si="18"/>
        <v>225.9525</v>
      </c>
      <c r="J44" s="53">
        <f t="shared" si="18"/>
        <v>166.6335</v>
      </c>
      <c r="K44" s="53">
        <f t="shared" si="18"/>
        <v>389.5188</v>
      </c>
      <c r="L44" s="53">
        <f t="shared" si="18"/>
        <v>264.2074125</v>
      </c>
      <c r="M44" s="53">
        <f t="shared" si="18"/>
        <v>101.3026088</v>
      </c>
      <c r="N44" s="53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 outlineLevel="1">
      <c r="A45" s="47" t="s">
        <v>229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 outlineLevel="1">
      <c r="A46" s="47" t="s">
        <v>230</v>
      </c>
      <c r="B46" s="53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53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 outlineLevel="1">
      <c r="A47" s="47" t="s">
        <v>231</v>
      </c>
      <c r="B47" s="53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53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outlineLevel="1"/>
    <row r="49" outlineLevel="1"/>
    <row r="50" ht="15.75" customHeight="1">
      <c r="A50" s="47" t="s">
        <v>232</v>
      </c>
      <c r="B50" s="53">
        <f t="shared" ref="B50:C50" si="19">sum(B51:B57)</f>
        <v>0</v>
      </c>
      <c r="C50" s="53">
        <f t="shared" si="19"/>
        <v>0</v>
      </c>
      <c r="D50" s="53"/>
      <c r="E50" s="53">
        <f t="shared" ref="E50:M50" si="20">sum(E51:E57)</f>
        <v>2700</v>
      </c>
      <c r="F50" s="53">
        <f t="shared" si="20"/>
        <v>1600</v>
      </c>
      <c r="G50" s="53">
        <f t="shared" si="20"/>
        <v>1600</v>
      </c>
      <c r="H50" s="53">
        <f t="shared" si="20"/>
        <v>1600</v>
      </c>
      <c r="I50" s="53">
        <f t="shared" si="20"/>
        <v>1600</v>
      </c>
      <c r="J50" s="53">
        <f t="shared" si="20"/>
        <v>1600</v>
      </c>
      <c r="K50" s="53">
        <f t="shared" si="20"/>
        <v>1600</v>
      </c>
      <c r="L50" s="53">
        <f t="shared" si="20"/>
        <v>1600</v>
      </c>
      <c r="M50" s="53">
        <f t="shared" si="20"/>
        <v>1600</v>
      </c>
      <c r="N50" s="58">
        <f>M50/M21</f>
        <v>0.008947992411</v>
      </c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 outlineLevel="1">
      <c r="A51" s="47" t="s">
        <v>233</v>
      </c>
      <c r="B51" s="53"/>
      <c r="C51" s="53"/>
      <c r="D51" s="53"/>
      <c r="E51" s="53">
        <v>800.0</v>
      </c>
      <c r="F51" s="53">
        <v>800.0</v>
      </c>
      <c r="G51" s="53">
        <v>800.0</v>
      </c>
      <c r="H51" s="53">
        <v>800.0</v>
      </c>
      <c r="I51" s="53">
        <v>800.0</v>
      </c>
      <c r="J51" s="53">
        <v>800.0</v>
      </c>
      <c r="K51" s="53">
        <v>800.0</v>
      </c>
      <c r="L51" s="53">
        <v>800.0</v>
      </c>
      <c r="M51" s="53">
        <v>800.0</v>
      </c>
      <c r="N51" s="53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 outlineLevel="1">
      <c r="A52" s="47" t="s">
        <v>234</v>
      </c>
      <c r="B52" s="53"/>
      <c r="C52" s="53"/>
      <c r="D52" s="53"/>
      <c r="E52" s="53">
        <v>800.0</v>
      </c>
      <c r="F52" s="53">
        <v>800.0</v>
      </c>
      <c r="G52" s="53">
        <v>800.0</v>
      </c>
      <c r="H52" s="53">
        <v>800.0</v>
      </c>
      <c r="I52" s="53">
        <v>800.0</v>
      </c>
      <c r="J52" s="53">
        <v>800.0</v>
      </c>
      <c r="K52" s="53">
        <v>800.0</v>
      </c>
      <c r="L52" s="53">
        <v>800.0</v>
      </c>
      <c r="M52" s="53">
        <v>800.0</v>
      </c>
      <c r="N52" s="53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 outlineLevel="1">
      <c r="A53" s="47" t="s">
        <v>235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 outlineLevel="1">
      <c r="A54" s="47" t="s">
        <v>236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 outlineLevel="1">
      <c r="A55" s="47" t="s">
        <v>237</v>
      </c>
      <c r="B55" s="53"/>
      <c r="C55" s="53"/>
      <c r="D55" s="53"/>
      <c r="E55" s="69">
        <v>1100.0</v>
      </c>
      <c r="F55" s="53"/>
      <c r="G55" s="53"/>
      <c r="H55" s="53"/>
      <c r="I55" s="53"/>
      <c r="J55" s="53"/>
      <c r="K55" s="53"/>
      <c r="L55" s="53"/>
      <c r="M55" s="53"/>
      <c r="N55" s="53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 outlineLevel="1">
      <c r="A56" s="47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 outlineLevel="1">
      <c r="A57" s="47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 t="s">
        <v>238</v>
      </c>
      <c r="B58" s="53">
        <f t="shared" ref="B58:M58" si="21">B23+B24+B29+B30+B40+B50</f>
        <v>0.2</v>
      </c>
      <c r="C58" s="53">
        <f t="shared" si="21"/>
        <v>0.2</v>
      </c>
      <c r="D58" s="53">
        <f t="shared" si="21"/>
        <v>0.2</v>
      </c>
      <c r="E58" s="53">
        <f t="shared" si="21"/>
        <v>57961.31111</v>
      </c>
      <c r="F58" s="53">
        <f t="shared" si="21"/>
        <v>11011.31111</v>
      </c>
      <c r="G58" s="53">
        <f t="shared" si="21"/>
        <v>12885.45111</v>
      </c>
      <c r="H58" s="53">
        <f t="shared" si="21"/>
        <v>17786.77731</v>
      </c>
      <c r="I58" s="53">
        <f t="shared" si="21"/>
        <v>68520.04392</v>
      </c>
      <c r="J58" s="53">
        <f t="shared" si="21"/>
        <v>31207.41122</v>
      </c>
      <c r="K58" s="53">
        <f t="shared" si="21"/>
        <v>40230.81385</v>
      </c>
      <c r="L58" s="53">
        <f t="shared" si="21"/>
        <v>59092.89665</v>
      </c>
      <c r="M58" s="53">
        <f t="shared" si="21"/>
        <v>77758.23291</v>
      </c>
      <c r="N58" s="62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56" t="s">
        <v>239</v>
      </c>
      <c r="B59" s="53">
        <f t="shared" ref="B59:M59" si="22">B21-B58</f>
        <v>-0.2</v>
      </c>
      <c r="C59" s="53">
        <f t="shared" si="22"/>
        <v>-0.2</v>
      </c>
      <c r="D59" s="53">
        <f t="shared" si="22"/>
        <v>-0.2</v>
      </c>
      <c r="E59" s="53">
        <f t="shared" si="22"/>
        <v>-57961.31111</v>
      </c>
      <c r="F59" s="53">
        <f t="shared" si="22"/>
        <v>-11011.31111</v>
      </c>
      <c r="G59" s="53">
        <f t="shared" si="22"/>
        <v>-3302.251111</v>
      </c>
      <c r="H59" s="53">
        <f t="shared" si="22"/>
        <v>3344.178689</v>
      </c>
      <c r="I59" s="53">
        <f t="shared" si="22"/>
        <v>-38646.15488</v>
      </c>
      <c r="J59" s="53">
        <f t="shared" si="22"/>
        <v>23163.06684</v>
      </c>
      <c r="K59" s="53">
        <f t="shared" si="22"/>
        <v>36544.05086</v>
      </c>
      <c r="L59" s="53">
        <f t="shared" si="22"/>
        <v>68410.95992</v>
      </c>
      <c r="M59" s="53">
        <f t="shared" si="22"/>
        <v>101052.8262</v>
      </c>
      <c r="N59" s="62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56" t="s">
        <v>129</v>
      </c>
      <c r="B60" s="64">
        <v>0.1</v>
      </c>
      <c r="C60" s="64">
        <v>0.1</v>
      </c>
      <c r="D60" s="64">
        <v>0.1</v>
      </c>
      <c r="E60" s="64">
        <v>0.1</v>
      </c>
      <c r="F60" s="64">
        <v>0.1</v>
      </c>
      <c r="G60" s="64">
        <v>0.1</v>
      </c>
      <c r="H60" s="64">
        <v>0.1</v>
      </c>
      <c r="I60" s="64">
        <v>0.1</v>
      </c>
      <c r="J60" s="64">
        <v>0.1</v>
      </c>
      <c r="K60" s="64">
        <v>0.1</v>
      </c>
      <c r="L60" s="64">
        <v>0.1</v>
      </c>
      <c r="M60" s="64">
        <v>0.1</v>
      </c>
      <c r="N60" s="53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56" t="s">
        <v>240</v>
      </c>
      <c r="B61" s="59">
        <f t="shared" ref="B61:C61" si="23">B59*B60</f>
        <v>-0.02</v>
      </c>
      <c r="C61" s="59">
        <f t="shared" si="23"/>
        <v>-0.02</v>
      </c>
      <c r="D61" s="63">
        <v>0.0</v>
      </c>
      <c r="E61" s="63">
        <v>0.0</v>
      </c>
      <c r="F61" s="63">
        <v>0.0</v>
      </c>
      <c r="G61" s="63">
        <v>0.0</v>
      </c>
      <c r="H61" s="59">
        <f>H59*H60</f>
        <v>334.4178689</v>
      </c>
      <c r="I61" s="63">
        <v>0.0</v>
      </c>
      <c r="J61" s="59">
        <f t="shared" ref="J61:M61" si="24">J59*J60</f>
        <v>2316.306684</v>
      </c>
      <c r="K61" s="59">
        <f t="shared" si="24"/>
        <v>3654.405086</v>
      </c>
      <c r="L61" s="59">
        <f t="shared" si="24"/>
        <v>6841.095992</v>
      </c>
      <c r="M61" s="59">
        <f t="shared" si="24"/>
        <v>10105.28262</v>
      </c>
      <c r="N61" s="53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56" t="s">
        <v>241</v>
      </c>
      <c r="B62" s="47"/>
      <c r="C62" s="47"/>
      <c r="D62" s="47"/>
      <c r="E62" s="53">
        <f t="shared" ref="E62:M62" si="25">E59-E61</f>
        <v>-57961.31111</v>
      </c>
      <c r="F62" s="53">
        <f t="shared" si="25"/>
        <v>-11011.31111</v>
      </c>
      <c r="G62" s="53">
        <f t="shared" si="25"/>
        <v>-3302.251111</v>
      </c>
      <c r="H62" s="53">
        <f t="shared" si="25"/>
        <v>3009.76082</v>
      </c>
      <c r="I62" s="53">
        <f t="shared" si="25"/>
        <v>-38646.15488</v>
      </c>
      <c r="J62" s="53">
        <f t="shared" si="25"/>
        <v>20846.76015</v>
      </c>
      <c r="K62" s="53">
        <f t="shared" si="25"/>
        <v>32889.64577</v>
      </c>
      <c r="L62" s="53">
        <f t="shared" si="25"/>
        <v>61569.86393</v>
      </c>
      <c r="M62" s="53">
        <f t="shared" si="25"/>
        <v>90947.5436</v>
      </c>
      <c r="N62" s="53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 t="s">
        <v>171</v>
      </c>
      <c r="B63" s="47"/>
      <c r="C63" s="62"/>
      <c r="D63" s="62"/>
      <c r="E63" s="59">
        <v>100000.0</v>
      </c>
      <c r="F63" s="62"/>
      <c r="G63" s="62"/>
      <c r="H63" s="62"/>
      <c r="I63" s="62"/>
      <c r="J63" s="62"/>
      <c r="K63" s="62"/>
      <c r="L63" s="62"/>
      <c r="M63" s="62"/>
      <c r="N63" s="53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 t="s">
        <v>177</v>
      </c>
      <c r="B64" s="53"/>
      <c r="C64" s="53"/>
      <c r="D64" s="53"/>
      <c r="E64" s="53">
        <f t="shared" ref="E64:M64" si="26">E63+(E59-E61)</f>
        <v>42038.68889</v>
      </c>
      <c r="F64" s="53">
        <f t="shared" si="26"/>
        <v>-11011.31111</v>
      </c>
      <c r="G64" s="53">
        <f t="shared" si="26"/>
        <v>-3302.251111</v>
      </c>
      <c r="H64" s="53">
        <f t="shared" si="26"/>
        <v>3009.76082</v>
      </c>
      <c r="I64" s="53">
        <f t="shared" si="26"/>
        <v>-38646.15488</v>
      </c>
      <c r="J64" s="53">
        <f t="shared" si="26"/>
        <v>20846.76015</v>
      </c>
      <c r="K64" s="53">
        <f t="shared" si="26"/>
        <v>32889.64577</v>
      </c>
      <c r="L64" s="53">
        <f t="shared" si="26"/>
        <v>61569.86393</v>
      </c>
      <c r="M64" s="53">
        <f t="shared" si="26"/>
        <v>90947.5436</v>
      </c>
      <c r="N64" s="62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 t="s">
        <v>141</v>
      </c>
      <c r="B65" s="47"/>
      <c r="C65" s="47"/>
      <c r="D65" s="47"/>
      <c r="E65" s="62" t="str">
        <f t="shared" ref="E65:M65" si="27">IFERROR(E59/E21,"")</f>
        <v/>
      </c>
      <c r="F65" s="62" t="str">
        <f t="shared" si="27"/>
        <v/>
      </c>
      <c r="G65" s="62">
        <f t="shared" si="27"/>
        <v>-0.3445875189</v>
      </c>
      <c r="H65" s="62">
        <f t="shared" si="27"/>
        <v>0.1582596968</v>
      </c>
      <c r="I65" s="62">
        <f t="shared" si="27"/>
        <v>-1.293643249</v>
      </c>
      <c r="J65" s="62">
        <f t="shared" si="27"/>
        <v>0.4260228651</v>
      </c>
      <c r="K65" s="62">
        <f t="shared" si="27"/>
        <v>0.4759897786</v>
      </c>
      <c r="L65" s="62">
        <f t="shared" si="27"/>
        <v>0.5365403193</v>
      </c>
      <c r="M65" s="62">
        <f t="shared" si="27"/>
        <v>0.5651374513</v>
      </c>
      <c r="N65" s="62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71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 t="s">
        <v>242</v>
      </c>
      <c r="B68" s="53"/>
      <c r="C68" s="53"/>
      <c r="D68" s="53"/>
      <c r="E68" s="69">
        <v>10000.0</v>
      </c>
      <c r="F68" s="69">
        <f t="shared" ref="F68:J68" si="28">E68-F12</f>
        <v>10000</v>
      </c>
      <c r="G68" s="69">
        <f t="shared" si="28"/>
        <v>9550</v>
      </c>
      <c r="H68" s="69">
        <f t="shared" si="28"/>
        <v>8672.5</v>
      </c>
      <c r="I68" s="69">
        <f t="shared" si="28"/>
        <v>7531.75</v>
      </c>
      <c r="J68" s="69">
        <f t="shared" si="28"/>
        <v>5554.45</v>
      </c>
      <c r="K68" s="69">
        <f>J68-K12+10000</f>
        <v>12983.96</v>
      </c>
      <c r="L68" s="69">
        <f t="shared" ref="L68:M68" si="29">K68-L12</f>
        <v>8806.91375</v>
      </c>
      <c r="M68" s="69">
        <f t="shared" si="29"/>
        <v>3376.753625</v>
      </c>
      <c r="N68" s="53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3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74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74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74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74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74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75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74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74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66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 ht="15.75" customHeight="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  <row r="1002" ht="15.75" customHeight="1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</row>
    <row r="1003" ht="15.75" customHeight="1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</row>
    <row r="1004" ht="15.75" customHeight="1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</row>
    <row r="1005" ht="15.75" customHeight="1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</row>
    <row r="1006" ht="15.75" customHeight="1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</row>
    <row r="1007" ht="15.75" customHeight="1">
      <c r="A1007" s="47"/>
      <c r="B1007" s="47"/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</row>
    <row r="1008" ht="15.75" customHeight="1">
      <c r="A1008" s="47"/>
      <c r="B1008" s="47"/>
      <c r="C1008" s="47"/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</row>
    <row r="1009" ht="15.75" customHeight="1">
      <c r="A1009" s="47"/>
      <c r="B1009" s="47"/>
      <c r="C1009" s="47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</row>
    <row r="1010" ht="15.75" customHeight="1">
      <c r="A1010" s="47"/>
      <c r="B1010" s="47"/>
      <c r="C1010" s="47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</row>
    <row r="1011" ht="15.75" customHeight="1">
      <c r="A1011" s="47"/>
      <c r="B1011" s="47"/>
      <c r="C1011" s="47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</row>
    <row r="1012" ht="15.75" customHeight="1">
      <c r="A1012" s="47"/>
      <c r="B1012" s="47"/>
      <c r="C1012" s="47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</row>
    <row r="1013" ht="15.75" customHeight="1">
      <c r="A1013" s="47"/>
      <c r="B1013" s="47"/>
      <c r="C1013" s="47"/>
      <c r="D1013" s="47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  <c r="W1013" s="47"/>
      <c r="X1013" s="47"/>
      <c r="Y1013" s="47"/>
      <c r="Z1013" s="47"/>
    </row>
  </sheetData>
  <mergeCells count="2">
    <mergeCell ref="B1:D1"/>
    <mergeCell ref="K1:M1"/>
  </mergeCells>
  <conditionalFormatting sqref="N60:N63 C63:D63 F63:M63">
    <cfRule type="cellIs" dxfId="0" priority="1" operator="lessThan">
      <formula>0</formula>
    </cfRule>
  </conditionalFormatting>
  <conditionalFormatting sqref="N60:N63 C63:D63 F63:M63">
    <cfRule type="cellIs" dxfId="1" priority="2" operator="greaterThan">
      <formula>0</formula>
    </cfRule>
  </conditionalFormatting>
  <conditionalFormatting sqref="B59:M59 B64:M64">
    <cfRule type="cellIs" dxfId="2" priority="3" operator="greaterThan">
      <formula>0</formula>
    </cfRule>
  </conditionalFormatting>
  <conditionalFormatting sqref="B59:M59 B64:M64">
    <cfRule type="cellIs" dxfId="3" priority="4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6.33"/>
    <col customWidth="1" min="2" max="2" width="12.11"/>
    <col customWidth="1" min="3" max="3" width="11.67"/>
    <col customWidth="1" min="4" max="4" width="9.44"/>
    <col customWidth="1" min="5" max="5" width="8.33"/>
    <col customWidth="1" min="6" max="6" width="9.56"/>
    <col customWidth="1" min="7" max="7" width="11.33"/>
    <col customWidth="1" min="8" max="8" width="11.89"/>
    <col customWidth="1" min="9" max="9" width="14.89"/>
    <col customWidth="1" min="10" max="10" width="7.89"/>
    <col customWidth="1" min="11" max="11" width="10.56"/>
    <col customWidth="1" min="12" max="12" width="11.89"/>
    <col customWidth="1" min="13" max="16" width="9.11"/>
    <col customWidth="1" min="17" max="17" width="7.78"/>
    <col customWidth="1" min="18" max="18" width="10.67"/>
    <col customWidth="1" min="19" max="19" width="9.0"/>
    <col customWidth="1" min="20" max="22" width="9.11"/>
    <col customWidth="1" min="23" max="23" width="14.0"/>
    <col customWidth="1" min="24" max="39" width="8.33"/>
    <col customWidth="1" min="40" max="40" width="11.33"/>
    <col customWidth="1" min="41" max="43" width="8.33"/>
    <col customWidth="1" hidden="1" min="44" max="44" width="8.33"/>
    <col customWidth="1" min="45" max="45" width="9.44"/>
    <col customWidth="1" min="46" max="46" width="8.33"/>
    <col customWidth="1" hidden="1" min="47" max="48" width="8.33"/>
    <col customWidth="1" min="49" max="49" width="8.33"/>
    <col customWidth="1" min="51" max="54" width="8.33"/>
    <col customWidth="1" min="56" max="56" width="8.33"/>
    <col customWidth="1" hidden="1" min="57" max="57" width="8.33"/>
    <col customWidth="1" min="58" max="62" width="8.33"/>
    <col customWidth="1" min="70" max="70" width="8.33"/>
  </cols>
  <sheetData>
    <row r="1" ht="15.75" customHeight="1">
      <c r="A1" s="41" t="s">
        <v>246</v>
      </c>
      <c r="B1" s="47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58"/>
      <c r="BD1" s="47"/>
      <c r="BE1" s="47"/>
      <c r="BF1" s="47"/>
      <c r="BG1" s="47"/>
      <c r="BH1" s="47"/>
      <c r="BI1" s="47"/>
      <c r="BJ1" s="47"/>
      <c r="BR1" s="47"/>
    </row>
    <row r="2" ht="15.75" customHeight="1">
      <c r="A2" s="47"/>
      <c r="B2" s="47"/>
      <c r="C2" s="53"/>
      <c r="D2" s="53"/>
      <c r="E2" s="53"/>
      <c r="F2" s="53"/>
      <c r="G2" s="53"/>
      <c r="H2" s="53"/>
      <c r="I2" s="53"/>
      <c r="J2" s="77" t="s">
        <v>247</v>
      </c>
      <c r="K2" s="78"/>
      <c r="L2" s="78"/>
      <c r="M2" s="78"/>
      <c r="N2" s="78"/>
      <c r="O2" s="78"/>
      <c r="P2" s="79"/>
      <c r="Q2" s="77" t="s">
        <v>248</v>
      </c>
      <c r="R2" s="78"/>
      <c r="S2" s="78"/>
      <c r="T2" s="78"/>
      <c r="U2" s="78"/>
      <c r="V2" s="78"/>
      <c r="W2" s="79"/>
      <c r="X2" s="80" t="s">
        <v>249</v>
      </c>
      <c r="Y2" s="78"/>
      <c r="Z2" s="78"/>
      <c r="AA2" s="78"/>
      <c r="AB2" s="78"/>
      <c r="AC2" s="78"/>
      <c r="AD2" s="79"/>
      <c r="AE2" s="80" t="s">
        <v>250</v>
      </c>
      <c r="AF2" s="78"/>
      <c r="AG2" s="78"/>
      <c r="AH2" s="78"/>
      <c r="AI2" s="78"/>
      <c r="AJ2" s="78"/>
      <c r="AK2" s="79"/>
      <c r="AL2" s="47"/>
      <c r="AM2" s="47"/>
      <c r="AN2" s="47"/>
      <c r="AO2" s="47" t="s">
        <v>251</v>
      </c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58"/>
      <c r="BD2" s="47"/>
      <c r="BE2" s="47"/>
      <c r="BF2" s="47"/>
      <c r="BG2" s="47"/>
      <c r="BH2" s="47"/>
      <c r="BI2" s="47"/>
      <c r="BJ2" s="47"/>
      <c r="BR2" s="47"/>
    </row>
    <row r="3" ht="40.5" customHeight="1">
      <c r="A3" s="81" t="s">
        <v>252</v>
      </c>
      <c r="B3" s="81" t="s">
        <v>253</v>
      </c>
      <c r="C3" s="82" t="s">
        <v>254</v>
      </c>
      <c r="D3" s="82" t="s">
        <v>255</v>
      </c>
      <c r="E3" s="82" t="s">
        <v>256</v>
      </c>
      <c r="F3" s="82" t="s">
        <v>257</v>
      </c>
      <c r="G3" s="82" t="s">
        <v>258</v>
      </c>
      <c r="H3" s="82" t="s">
        <v>259</v>
      </c>
      <c r="I3" s="82" t="s">
        <v>260</v>
      </c>
      <c r="J3" s="83" t="s">
        <v>261</v>
      </c>
      <c r="K3" s="84" t="s">
        <v>262</v>
      </c>
      <c r="L3" s="84" t="s">
        <v>263</v>
      </c>
      <c r="M3" s="84" t="s">
        <v>264</v>
      </c>
      <c r="N3" s="84" t="s">
        <v>265</v>
      </c>
      <c r="O3" s="84" t="s">
        <v>266</v>
      </c>
      <c r="P3" s="85" t="s">
        <v>267</v>
      </c>
      <c r="Q3" s="84" t="s">
        <v>261</v>
      </c>
      <c r="R3" s="84" t="s">
        <v>268</v>
      </c>
      <c r="S3" s="84" t="s">
        <v>263</v>
      </c>
      <c r="T3" s="84" t="s">
        <v>264</v>
      </c>
      <c r="U3" s="84" t="s">
        <v>265</v>
      </c>
      <c r="V3" s="84" t="s">
        <v>266</v>
      </c>
      <c r="W3" s="85" t="s">
        <v>267</v>
      </c>
      <c r="X3" s="84" t="s">
        <v>261</v>
      </c>
      <c r="Y3" s="84" t="s">
        <v>269</v>
      </c>
      <c r="Z3" s="84" t="s">
        <v>263</v>
      </c>
      <c r="AA3" s="84" t="s">
        <v>264</v>
      </c>
      <c r="AB3" s="84" t="s">
        <v>265</v>
      </c>
      <c r="AC3" s="84" t="s">
        <v>266</v>
      </c>
      <c r="AD3" s="85" t="s">
        <v>267</v>
      </c>
      <c r="AE3" s="84" t="s">
        <v>261</v>
      </c>
      <c r="AF3" s="84" t="s">
        <v>270</v>
      </c>
      <c r="AG3" s="84" t="s">
        <v>263</v>
      </c>
      <c r="AH3" s="84" t="s">
        <v>264</v>
      </c>
      <c r="AI3" s="84" t="s">
        <v>265</v>
      </c>
      <c r="AJ3" s="84" t="s">
        <v>266</v>
      </c>
      <c r="AK3" s="85" t="s">
        <v>267</v>
      </c>
      <c r="AL3" s="86"/>
      <c r="AM3" s="87" t="s">
        <v>271</v>
      </c>
      <c r="AN3" s="86" t="s">
        <v>272</v>
      </c>
      <c r="AO3" s="81" t="s">
        <v>273</v>
      </c>
      <c r="AP3" s="86" t="s">
        <v>274</v>
      </c>
      <c r="AQ3" s="86" t="s">
        <v>275</v>
      </c>
      <c r="AR3" s="81"/>
      <c r="AS3" s="88" t="s">
        <v>276</v>
      </c>
      <c r="AT3" s="88" t="s">
        <v>277</v>
      </c>
      <c r="AU3" s="81"/>
      <c r="AV3" s="81"/>
      <c r="AW3" s="81" t="s">
        <v>278</v>
      </c>
      <c r="AX3" s="81" t="s">
        <v>81</v>
      </c>
      <c r="AY3" s="81" t="s">
        <v>224</v>
      </c>
      <c r="AZ3" s="81" t="s">
        <v>111</v>
      </c>
      <c r="BA3" s="81" t="s">
        <v>232</v>
      </c>
      <c r="BB3" s="89" t="s">
        <v>279</v>
      </c>
      <c r="BD3" s="81" t="s">
        <v>202</v>
      </c>
      <c r="BE3" s="81"/>
      <c r="BF3" s="81" t="s">
        <v>280</v>
      </c>
      <c r="BG3" s="81" t="s">
        <v>281</v>
      </c>
      <c r="BH3" s="81" t="s">
        <v>282</v>
      </c>
      <c r="BI3" s="81" t="s">
        <v>283</v>
      </c>
      <c r="BJ3" s="81" t="s">
        <v>284</v>
      </c>
      <c r="BL3" s="88" t="s">
        <v>285</v>
      </c>
      <c r="BM3" s="88" t="s">
        <v>286</v>
      </c>
      <c r="BN3" s="88" t="s">
        <v>287</v>
      </c>
      <c r="BO3" s="88" t="s">
        <v>288</v>
      </c>
      <c r="BP3" s="88" t="s">
        <v>289</v>
      </c>
      <c r="BR3" s="81"/>
    </row>
    <row r="4" ht="15.75" customHeight="1">
      <c r="A4" s="47" t="s">
        <v>290</v>
      </c>
      <c r="B4" s="47" t="s">
        <v>291</v>
      </c>
      <c r="C4" s="53" t="s">
        <v>292</v>
      </c>
      <c r="D4" s="53" t="s">
        <v>293</v>
      </c>
      <c r="E4" s="69" t="s">
        <v>294</v>
      </c>
      <c r="F4" s="69" t="s">
        <v>295</v>
      </c>
      <c r="G4" s="69" t="s">
        <v>296</v>
      </c>
      <c r="H4" s="53" t="s">
        <v>297</v>
      </c>
      <c r="I4" s="53" t="s">
        <v>298</v>
      </c>
      <c r="J4" s="90">
        <v>5000.0</v>
      </c>
      <c r="K4" s="91">
        <v>4.86</v>
      </c>
      <c r="L4" s="92">
        <f t="shared" ref="L4:L7" si="1">K4*(1+M4)</f>
        <v>4.86</v>
      </c>
      <c r="M4" s="93">
        <v>0.0</v>
      </c>
      <c r="N4" s="94">
        <f t="shared" ref="N4:N7" si="2">J4*L4</f>
        <v>24300</v>
      </c>
      <c r="O4" s="95">
        <v>46240.0</v>
      </c>
      <c r="P4" s="96" t="s">
        <v>299</v>
      </c>
      <c r="Q4" s="97">
        <v>2000.0</v>
      </c>
      <c r="R4" s="98">
        <v>3.65</v>
      </c>
      <c r="S4" s="92">
        <f t="shared" ref="S4:S7" si="3">R4*(1+T4)</f>
        <v>3.65</v>
      </c>
      <c r="T4" s="64">
        <v>0.0</v>
      </c>
      <c r="U4" s="99">
        <f t="shared" ref="U4:U7" si="4">S4*Q4</f>
        <v>7300</v>
      </c>
      <c r="V4" s="95">
        <v>46240.0</v>
      </c>
      <c r="W4" s="100"/>
      <c r="X4" s="90">
        <v>1000.0</v>
      </c>
      <c r="Y4" s="91">
        <v>5.59</v>
      </c>
      <c r="Z4" s="92">
        <f t="shared" ref="Z4:Z7" si="5">Y4*(1+AA4)</f>
        <v>5.59</v>
      </c>
      <c r="AA4" s="64">
        <v>0.0</v>
      </c>
      <c r="AB4" s="99">
        <f t="shared" ref="AB4:AB7" si="6">Z4*X4</f>
        <v>5590</v>
      </c>
      <c r="AC4" s="95">
        <v>46240.0</v>
      </c>
      <c r="AD4" s="100"/>
      <c r="AE4" s="90"/>
      <c r="AF4" s="101"/>
      <c r="AG4" s="92"/>
      <c r="AH4" s="102"/>
      <c r="AI4" s="99"/>
      <c r="AJ4" s="95"/>
      <c r="AK4" s="100"/>
      <c r="AL4" s="56" t="s">
        <v>248</v>
      </c>
      <c r="AM4" s="62">
        <f t="shared" ref="AM4:AM8" si="7">1-(AO4/AN4)</f>
        <v>0.8516260163</v>
      </c>
      <c r="AN4" s="47">
        <v>24.6</v>
      </c>
      <c r="AO4" s="76">
        <f t="shared" ref="AO4:AO5" si="8">R4</f>
        <v>3.65</v>
      </c>
      <c r="AP4" s="103">
        <f t="shared" ref="AP4:AP8" si="9">BD4+BE4+BF4+BG4+BH4+BI4+BJ4</f>
        <v>11.75954</v>
      </c>
      <c r="AQ4" s="103">
        <f t="shared" ref="AQ4:AQ8" si="10">AP4+AO4</f>
        <v>15.40954</v>
      </c>
      <c r="AR4" s="103"/>
      <c r="AS4" s="103">
        <f t="shared" ref="AS4:AS8" si="11">AN4-AQ4</f>
        <v>9.19046</v>
      </c>
      <c r="AT4" s="62">
        <f t="shared" ref="AT4:AT8" si="12">AS4/AN4</f>
        <v>0.373595935</v>
      </c>
      <c r="AU4" s="62"/>
      <c r="AV4" s="62"/>
      <c r="AW4" s="64">
        <v>0.2</v>
      </c>
      <c r="AX4" s="64">
        <v>0.035</v>
      </c>
      <c r="AY4" s="62">
        <f t="shared" ref="AY4:AY8" si="13">BH4/AN4</f>
        <v>0.1678861789</v>
      </c>
      <c r="AZ4" s="64">
        <v>0.0249</v>
      </c>
      <c r="BA4" s="58">
        <v>0.005</v>
      </c>
      <c r="BB4" s="58">
        <v>0.005</v>
      </c>
      <c r="BD4" s="104">
        <f t="shared" ref="BD4:BD8" si="14">AX4*AN4</f>
        <v>0.861</v>
      </c>
      <c r="BE4" s="76"/>
      <c r="BF4" s="76">
        <f t="shared" ref="BF4:BF8" si="15">AN4*AZ4</f>
        <v>0.61254</v>
      </c>
      <c r="BG4" s="76">
        <f t="shared" ref="BG4:BG8" si="16">(AN4*AW4)+0.99</f>
        <v>5.91</v>
      </c>
      <c r="BH4" s="70">
        <v>4.13</v>
      </c>
      <c r="BI4" s="76">
        <f t="shared" ref="BI4:BI8" si="17">AN4*BA4</f>
        <v>0.123</v>
      </c>
      <c r="BJ4" s="76">
        <f t="shared" ref="BJ4:BJ8" si="18">AN4*BB4</f>
        <v>0.123</v>
      </c>
      <c r="BL4" s="76">
        <f t="shared" ref="BL4:BL8" si="19">AN4-BG4-BH4-BI4-BJ4</f>
        <v>14.314</v>
      </c>
      <c r="BM4" s="62">
        <v>0.1</v>
      </c>
      <c r="BN4" s="76">
        <f t="shared" ref="BN4:BN8" si="20">BL4*BM4</f>
        <v>1.4314</v>
      </c>
      <c r="BO4" s="76">
        <f t="shared" ref="BO4:BO8" si="21">AS4-BN4</f>
        <v>7.75906</v>
      </c>
      <c r="BP4" s="62">
        <f t="shared" ref="BP4:BP8" si="22">BO4/AN4</f>
        <v>0.3154089431</v>
      </c>
      <c r="BR4" s="47"/>
    </row>
    <row r="5" ht="15.75" customHeight="1">
      <c r="A5" s="47" t="s">
        <v>290</v>
      </c>
      <c r="B5" s="47" t="s">
        <v>300</v>
      </c>
      <c r="C5" s="69" t="s">
        <v>301</v>
      </c>
      <c r="D5" s="53" t="s">
        <v>293</v>
      </c>
      <c r="E5" s="69" t="s">
        <v>294</v>
      </c>
      <c r="F5" s="69" t="s">
        <v>295</v>
      </c>
      <c r="G5" s="69" t="s">
        <v>296</v>
      </c>
      <c r="H5" s="53" t="s">
        <v>297</v>
      </c>
      <c r="I5" s="53" t="s">
        <v>298</v>
      </c>
      <c r="J5" s="105">
        <v>5000.0</v>
      </c>
      <c r="K5" s="70">
        <v>4.9</v>
      </c>
      <c r="L5" s="76">
        <f t="shared" si="1"/>
        <v>4.9</v>
      </c>
      <c r="M5" s="64">
        <v>0.0</v>
      </c>
      <c r="N5" s="53">
        <f t="shared" si="2"/>
        <v>24500</v>
      </c>
      <c r="O5" s="106">
        <v>46177.0</v>
      </c>
      <c r="P5" s="107" t="s">
        <v>299</v>
      </c>
      <c r="Q5" s="108">
        <v>2000.0</v>
      </c>
      <c r="R5" s="109">
        <v>4.7</v>
      </c>
      <c r="S5" s="76">
        <f t="shared" si="3"/>
        <v>4.7</v>
      </c>
      <c r="T5" s="64">
        <v>0.0</v>
      </c>
      <c r="U5" s="59">
        <f t="shared" si="4"/>
        <v>9400</v>
      </c>
      <c r="V5" s="106">
        <v>46177.0</v>
      </c>
      <c r="W5" s="110"/>
      <c r="X5" s="105">
        <v>1000.0</v>
      </c>
      <c r="Y5" s="70">
        <v>4.98</v>
      </c>
      <c r="Z5" s="76">
        <f t="shared" si="5"/>
        <v>4.98</v>
      </c>
      <c r="AA5" s="64">
        <v>0.0</v>
      </c>
      <c r="AB5" s="59">
        <f t="shared" si="6"/>
        <v>4980</v>
      </c>
      <c r="AC5" s="106">
        <v>46177.0</v>
      </c>
      <c r="AD5" s="110"/>
      <c r="AE5" s="105"/>
      <c r="AF5" s="69"/>
      <c r="AG5" s="76"/>
      <c r="AH5" s="62"/>
      <c r="AI5" s="59"/>
      <c r="AJ5" s="106"/>
      <c r="AK5" s="110"/>
      <c r="AL5" s="56" t="s">
        <v>248</v>
      </c>
      <c r="AM5" s="62">
        <f t="shared" si="7"/>
        <v>0.7434497817</v>
      </c>
      <c r="AN5" s="47">
        <v>18.32</v>
      </c>
      <c r="AO5" s="76">
        <f t="shared" si="8"/>
        <v>4.7</v>
      </c>
      <c r="AP5" s="103">
        <f t="shared" si="9"/>
        <v>10.064568</v>
      </c>
      <c r="AQ5" s="103">
        <f t="shared" si="10"/>
        <v>14.764568</v>
      </c>
      <c r="AR5" s="103"/>
      <c r="AS5" s="103">
        <f t="shared" si="11"/>
        <v>3.555432</v>
      </c>
      <c r="AT5" s="62">
        <f t="shared" si="12"/>
        <v>0.1940737991</v>
      </c>
      <c r="AU5" s="62"/>
      <c r="AV5" s="62"/>
      <c r="AW5" s="64">
        <v>0.2</v>
      </c>
      <c r="AX5" s="64">
        <v>0.035</v>
      </c>
      <c r="AY5" s="62">
        <f t="shared" si="13"/>
        <v>0.2254366812</v>
      </c>
      <c r="AZ5" s="64">
        <v>0.0249</v>
      </c>
      <c r="BA5" s="58">
        <v>0.005</v>
      </c>
      <c r="BB5" s="58">
        <v>0.005</v>
      </c>
      <c r="BD5" s="104">
        <f t="shared" si="14"/>
        <v>0.6412</v>
      </c>
      <c r="BE5" s="76"/>
      <c r="BF5" s="76">
        <f t="shared" si="15"/>
        <v>0.456168</v>
      </c>
      <c r="BG5" s="76">
        <f t="shared" si="16"/>
        <v>4.654</v>
      </c>
      <c r="BH5" s="70">
        <v>4.13</v>
      </c>
      <c r="BI5" s="76">
        <f t="shared" si="17"/>
        <v>0.0916</v>
      </c>
      <c r="BJ5" s="76">
        <f t="shared" si="18"/>
        <v>0.0916</v>
      </c>
      <c r="BL5" s="76">
        <f t="shared" si="19"/>
        <v>9.3528</v>
      </c>
      <c r="BM5" s="62">
        <v>0.1</v>
      </c>
      <c r="BN5" s="76">
        <f t="shared" si="20"/>
        <v>0.93528</v>
      </c>
      <c r="BO5" s="76">
        <f t="shared" si="21"/>
        <v>2.620152</v>
      </c>
      <c r="BP5" s="62">
        <f t="shared" si="22"/>
        <v>0.1430213974</v>
      </c>
      <c r="BR5" s="47"/>
    </row>
    <row r="6" ht="15.75" customHeight="1">
      <c r="A6" s="47" t="s">
        <v>290</v>
      </c>
      <c r="B6" s="47" t="s">
        <v>302</v>
      </c>
      <c r="C6" s="53"/>
      <c r="D6" s="53" t="s">
        <v>293</v>
      </c>
      <c r="E6" s="69" t="s">
        <v>303</v>
      </c>
      <c r="F6" s="69" t="s">
        <v>295</v>
      </c>
      <c r="G6" s="69" t="s">
        <v>296</v>
      </c>
      <c r="H6" s="53" t="s">
        <v>297</v>
      </c>
      <c r="I6" s="53" t="s">
        <v>298</v>
      </c>
      <c r="J6" s="105">
        <v>1000.0</v>
      </c>
      <c r="K6" s="76">
        <v>3.1</v>
      </c>
      <c r="L6" s="76">
        <f t="shared" si="1"/>
        <v>3.1</v>
      </c>
      <c r="M6" s="64">
        <v>0.0</v>
      </c>
      <c r="N6" s="53">
        <f t="shared" si="2"/>
        <v>3100</v>
      </c>
      <c r="O6" s="106">
        <v>46177.0</v>
      </c>
      <c r="P6" s="111" t="s">
        <v>299</v>
      </c>
      <c r="Q6" s="108"/>
      <c r="R6" s="76"/>
      <c r="S6" s="76">
        <f t="shared" si="3"/>
        <v>0</v>
      </c>
      <c r="T6" s="64">
        <v>0.0</v>
      </c>
      <c r="U6" s="59">
        <f t="shared" si="4"/>
        <v>0</v>
      </c>
      <c r="V6" s="106">
        <v>46177.0</v>
      </c>
      <c r="W6" s="112"/>
      <c r="X6" s="105">
        <v>1000.0</v>
      </c>
      <c r="Y6" s="109">
        <v>4.07</v>
      </c>
      <c r="Z6" s="76">
        <f t="shared" si="5"/>
        <v>4.07</v>
      </c>
      <c r="AA6" s="64">
        <v>0.0</v>
      </c>
      <c r="AB6" s="59">
        <f t="shared" si="6"/>
        <v>4070</v>
      </c>
      <c r="AC6" s="106">
        <v>46177.0</v>
      </c>
      <c r="AD6" s="112"/>
      <c r="AE6" s="105"/>
      <c r="AF6" s="69"/>
      <c r="AG6" s="76"/>
      <c r="AH6" s="62"/>
      <c r="AI6" s="59"/>
      <c r="AJ6" s="106"/>
      <c r="AK6" s="112"/>
      <c r="AL6" s="56" t="s">
        <v>249</v>
      </c>
      <c r="AM6" s="62">
        <f t="shared" si="7"/>
        <v>0.8625277162</v>
      </c>
      <c r="AN6" s="47">
        <v>22.55</v>
      </c>
      <c r="AO6" s="76">
        <f t="shared" ref="AO6:AO7" si="23">K6</f>
        <v>3.1</v>
      </c>
      <c r="AP6" s="103">
        <f t="shared" si="9"/>
        <v>11.206245</v>
      </c>
      <c r="AQ6" s="103">
        <f t="shared" si="10"/>
        <v>14.306245</v>
      </c>
      <c r="AR6" s="103"/>
      <c r="AS6" s="103">
        <f t="shared" si="11"/>
        <v>8.243755</v>
      </c>
      <c r="AT6" s="62">
        <f t="shared" si="12"/>
        <v>0.3655767184</v>
      </c>
      <c r="AU6" s="62"/>
      <c r="AV6" s="62"/>
      <c r="AW6" s="64">
        <v>0.2</v>
      </c>
      <c r="AX6" s="64">
        <v>0.035</v>
      </c>
      <c r="AY6" s="62">
        <f t="shared" si="13"/>
        <v>0.1831485588</v>
      </c>
      <c r="AZ6" s="64">
        <v>0.0249</v>
      </c>
      <c r="BA6" s="58">
        <v>0.005</v>
      </c>
      <c r="BB6" s="58">
        <v>0.005</v>
      </c>
      <c r="BD6" s="104">
        <f t="shared" si="14"/>
        <v>0.78925</v>
      </c>
      <c r="BE6" s="76"/>
      <c r="BF6" s="76">
        <f t="shared" si="15"/>
        <v>0.561495</v>
      </c>
      <c r="BG6" s="76">
        <f t="shared" si="16"/>
        <v>5.5</v>
      </c>
      <c r="BH6" s="70">
        <v>4.13</v>
      </c>
      <c r="BI6" s="76">
        <f t="shared" si="17"/>
        <v>0.11275</v>
      </c>
      <c r="BJ6" s="76">
        <f t="shared" si="18"/>
        <v>0.11275</v>
      </c>
      <c r="BL6" s="76">
        <f t="shared" si="19"/>
        <v>12.6945</v>
      </c>
      <c r="BM6" s="62">
        <v>0.1</v>
      </c>
      <c r="BN6" s="76">
        <f t="shared" si="20"/>
        <v>1.26945</v>
      </c>
      <c r="BO6" s="76">
        <f t="shared" si="21"/>
        <v>6.974305</v>
      </c>
      <c r="BP6" s="62">
        <f t="shared" si="22"/>
        <v>0.3092818182</v>
      </c>
      <c r="BR6" s="47"/>
    </row>
    <row r="7" ht="15.75" customHeight="1">
      <c r="A7" s="47" t="s">
        <v>290</v>
      </c>
      <c r="B7" s="47" t="s">
        <v>304</v>
      </c>
      <c r="C7" s="58">
        <v>0.005</v>
      </c>
      <c r="D7" s="69" t="s">
        <v>305</v>
      </c>
      <c r="E7" s="69" t="s">
        <v>306</v>
      </c>
      <c r="F7" s="69" t="s">
        <v>307</v>
      </c>
      <c r="G7" s="69" t="s">
        <v>308</v>
      </c>
      <c r="H7" s="53" t="s">
        <v>297</v>
      </c>
      <c r="I7" s="53" t="s">
        <v>298</v>
      </c>
      <c r="J7" s="105">
        <v>5000.0</v>
      </c>
      <c r="K7" s="109">
        <v>3.5</v>
      </c>
      <c r="L7" s="76">
        <f t="shared" si="1"/>
        <v>3.5</v>
      </c>
      <c r="M7" s="64">
        <v>0.0</v>
      </c>
      <c r="N7" s="53">
        <f t="shared" si="2"/>
        <v>17500</v>
      </c>
      <c r="O7" s="106">
        <v>46146.0</v>
      </c>
      <c r="P7" s="107" t="s">
        <v>299</v>
      </c>
      <c r="Q7" s="108">
        <v>5000.0</v>
      </c>
      <c r="R7" s="76">
        <v>3.15</v>
      </c>
      <c r="S7" s="76">
        <f t="shared" si="3"/>
        <v>3.15</v>
      </c>
      <c r="T7" s="64">
        <v>0.0</v>
      </c>
      <c r="U7" s="59">
        <f t="shared" si="4"/>
        <v>15750</v>
      </c>
      <c r="V7" s="106">
        <v>46146.0</v>
      </c>
      <c r="W7" s="113" t="s">
        <v>309</v>
      </c>
      <c r="X7" s="105">
        <v>1000.0</v>
      </c>
      <c r="Y7" s="70">
        <v>4.01</v>
      </c>
      <c r="Z7" s="76">
        <f t="shared" si="5"/>
        <v>4.01</v>
      </c>
      <c r="AA7" s="64">
        <v>0.0</v>
      </c>
      <c r="AB7" s="59">
        <f t="shared" si="6"/>
        <v>4010</v>
      </c>
      <c r="AC7" s="114">
        <v>46182.0</v>
      </c>
      <c r="AD7" s="107"/>
      <c r="AE7" s="105"/>
      <c r="AF7" s="69"/>
      <c r="AG7" s="76"/>
      <c r="AH7" s="62"/>
      <c r="AI7" s="59"/>
      <c r="AJ7" s="106"/>
      <c r="AK7" s="107"/>
      <c r="AL7" s="56" t="s">
        <v>247</v>
      </c>
      <c r="AM7" s="62">
        <f t="shared" si="7"/>
        <v>0.8222447943</v>
      </c>
      <c r="AN7" s="47">
        <v>19.69</v>
      </c>
      <c r="AO7" s="76">
        <f t="shared" si="23"/>
        <v>3.5</v>
      </c>
      <c r="AP7" s="103">
        <f t="shared" si="9"/>
        <v>10.434331</v>
      </c>
      <c r="AQ7" s="103">
        <f t="shared" si="10"/>
        <v>13.934331</v>
      </c>
      <c r="AR7" s="103"/>
      <c r="AS7" s="103">
        <f t="shared" si="11"/>
        <v>5.755669</v>
      </c>
      <c r="AT7" s="62">
        <f t="shared" si="12"/>
        <v>0.292314322</v>
      </c>
      <c r="AU7" s="62"/>
      <c r="AV7" s="62"/>
      <c r="AW7" s="64">
        <v>0.2</v>
      </c>
      <c r="AX7" s="64">
        <v>0.035</v>
      </c>
      <c r="AY7" s="62">
        <f t="shared" si="13"/>
        <v>0.2097511427</v>
      </c>
      <c r="AZ7" s="64">
        <v>0.0249</v>
      </c>
      <c r="BA7" s="58">
        <v>0.005</v>
      </c>
      <c r="BB7" s="58">
        <v>0.005</v>
      </c>
      <c r="BD7" s="104">
        <f t="shared" si="14"/>
        <v>0.68915</v>
      </c>
      <c r="BE7" s="76"/>
      <c r="BF7" s="76">
        <f t="shared" si="15"/>
        <v>0.490281</v>
      </c>
      <c r="BG7" s="76">
        <f t="shared" si="16"/>
        <v>4.928</v>
      </c>
      <c r="BH7" s="70">
        <v>4.13</v>
      </c>
      <c r="BI7" s="76">
        <f t="shared" si="17"/>
        <v>0.09845</v>
      </c>
      <c r="BJ7" s="76">
        <f t="shared" si="18"/>
        <v>0.09845</v>
      </c>
      <c r="BL7" s="76">
        <f t="shared" si="19"/>
        <v>10.4351</v>
      </c>
      <c r="BM7" s="62">
        <v>0.1</v>
      </c>
      <c r="BN7" s="76">
        <f t="shared" si="20"/>
        <v>1.04351</v>
      </c>
      <c r="BO7" s="76">
        <f t="shared" si="21"/>
        <v>4.712159</v>
      </c>
      <c r="BP7" s="62">
        <f t="shared" si="22"/>
        <v>0.2393173692</v>
      </c>
      <c r="BR7" s="47"/>
    </row>
    <row r="8" ht="15.75" customHeight="1">
      <c r="A8" s="56" t="s">
        <v>310</v>
      </c>
      <c r="B8" s="56" t="s">
        <v>311</v>
      </c>
      <c r="C8" s="56" t="s">
        <v>312</v>
      </c>
      <c r="D8" s="69" t="s">
        <v>313</v>
      </c>
      <c r="E8" s="69" t="s">
        <v>303</v>
      </c>
      <c r="F8" s="69" t="s">
        <v>295</v>
      </c>
      <c r="G8" s="69" t="s">
        <v>296</v>
      </c>
      <c r="H8" s="53" t="s">
        <v>297</v>
      </c>
      <c r="I8" s="53" t="s">
        <v>298</v>
      </c>
      <c r="J8" s="115"/>
      <c r="K8" s="116"/>
      <c r="L8" s="117"/>
      <c r="M8" s="117"/>
      <c r="N8" s="117"/>
      <c r="O8" s="117"/>
      <c r="P8" s="118"/>
      <c r="Q8" s="115"/>
      <c r="R8" s="117"/>
      <c r="S8" s="117"/>
      <c r="T8" s="117"/>
      <c r="U8" s="117"/>
      <c r="V8" s="117"/>
      <c r="W8" s="119"/>
      <c r="X8" s="120"/>
      <c r="Y8" s="121"/>
      <c r="Z8" s="121"/>
      <c r="AA8" s="121"/>
      <c r="AB8" s="121"/>
      <c r="AC8" s="121"/>
      <c r="AD8" s="122"/>
      <c r="AE8" s="123">
        <v>890.0</v>
      </c>
      <c r="AF8" s="124">
        <v>5.19</v>
      </c>
      <c r="AG8" s="125">
        <f>AF8*(1+AH8)</f>
        <v>5.19</v>
      </c>
      <c r="AH8" s="126">
        <v>0.0</v>
      </c>
      <c r="AI8" s="127">
        <f>AG8*AE8</f>
        <v>4619.1</v>
      </c>
      <c r="AJ8" s="128">
        <v>46240.0</v>
      </c>
      <c r="AK8" s="122"/>
      <c r="AL8" s="56" t="s">
        <v>250</v>
      </c>
      <c r="AM8" s="62">
        <f t="shared" si="7"/>
        <v>0.7565666041</v>
      </c>
      <c r="AN8" s="56">
        <v>21.32</v>
      </c>
      <c r="AO8" s="76">
        <f>AF8</f>
        <v>5.19</v>
      </c>
      <c r="AP8" s="103">
        <f t="shared" si="9"/>
        <v>10.874268</v>
      </c>
      <c r="AQ8" s="103">
        <f t="shared" si="10"/>
        <v>16.064268</v>
      </c>
      <c r="AR8" s="103"/>
      <c r="AS8" s="103">
        <f t="shared" si="11"/>
        <v>5.255732</v>
      </c>
      <c r="AT8" s="62">
        <f t="shared" si="12"/>
        <v>0.2465165103</v>
      </c>
      <c r="AU8" s="62"/>
      <c r="AV8" s="62"/>
      <c r="AW8" s="64">
        <v>0.2</v>
      </c>
      <c r="AX8" s="64">
        <v>0.035</v>
      </c>
      <c r="AY8" s="62">
        <f t="shared" si="13"/>
        <v>0.1937148218</v>
      </c>
      <c r="AZ8" s="64">
        <v>0.0249</v>
      </c>
      <c r="BA8" s="58">
        <v>0.005</v>
      </c>
      <c r="BB8" s="58">
        <v>0.005</v>
      </c>
      <c r="BD8" s="104">
        <f t="shared" si="14"/>
        <v>0.7462</v>
      </c>
      <c r="BE8" s="76"/>
      <c r="BF8" s="76">
        <f t="shared" si="15"/>
        <v>0.530868</v>
      </c>
      <c r="BG8" s="76">
        <f t="shared" si="16"/>
        <v>5.254</v>
      </c>
      <c r="BH8" s="70">
        <v>4.13</v>
      </c>
      <c r="BI8" s="76">
        <f t="shared" si="17"/>
        <v>0.1066</v>
      </c>
      <c r="BJ8" s="76">
        <f t="shared" si="18"/>
        <v>0.1066</v>
      </c>
      <c r="BL8" s="76">
        <f t="shared" si="19"/>
        <v>11.7228</v>
      </c>
      <c r="BM8" s="62">
        <v>0.1</v>
      </c>
      <c r="BN8" s="76">
        <f t="shared" si="20"/>
        <v>1.17228</v>
      </c>
      <c r="BO8" s="76">
        <f t="shared" si="21"/>
        <v>4.083452</v>
      </c>
      <c r="BP8" s="62">
        <f t="shared" si="22"/>
        <v>0.1915315197</v>
      </c>
      <c r="BR8" s="47"/>
    </row>
    <row r="9" ht="15.75" customHeight="1">
      <c r="A9" s="47"/>
      <c r="B9" s="47"/>
      <c r="C9" s="47"/>
      <c r="D9" s="47"/>
      <c r="E9" s="47"/>
      <c r="F9" s="47"/>
      <c r="G9" s="47"/>
      <c r="H9" s="60"/>
      <c r="I9" s="60"/>
      <c r="J9" s="94">
        <f>sum(J4:J7)</f>
        <v>16000</v>
      </c>
      <c r="K9" s="129"/>
      <c r="L9" s="94"/>
      <c r="M9" s="94"/>
      <c r="N9" s="94">
        <f>sum(N4:N7)</f>
        <v>69400</v>
      </c>
      <c r="O9" s="94"/>
      <c r="P9" s="129"/>
      <c r="Q9" s="94">
        <f>sum(Q4:Q7)</f>
        <v>9000</v>
      </c>
      <c r="R9" s="94"/>
      <c r="S9" s="94"/>
      <c r="T9" s="94"/>
      <c r="U9" s="94">
        <f>sum(U4:U7)</f>
        <v>32450</v>
      </c>
      <c r="V9" s="94"/>
      <c r="W9" s="94"/>
      <c r="X9" s="47"/>
      <c r="Y9" s="47"/>
      <c r="Z9" s="47"/>
      <c r="AA9" s="47"/>
      <c r="AB9" s="59">
        <f>sum(AB4:AB8)</f>
        <v>18650</v>
      </c>
      <c r="AC9" s="47"/>
      <c r="AD9" s="47"/>
      <c r="AE9" s="47"/>
      <c r="AF9" s="47"/>
      <c r="AG9" s="47"/>
      <c r="AH9" s="47"/>
      <c r="AI9" s="59">
        <f>AI8</f>
        <v>4619.1</v>
      </c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58"/>
      <c r="BD9" s="47"/>
      <c r="BE9" s="47"/>
      <c r="BF9" s="47"/>
      <c r="BG9" s="47"/>
      <c r="BH9" s="70"/>
      <c r="BI9" s="47"/>
      <c r="BJ9" s="47"/>
      <c r="BR9" s="47"/>
    </row>
    <row r="10" ht="15.75" customHeight="1">
      <c r="A10" s="47"/>
      <c r="B10" s="47"/>
      <c r="C10" s="53"/>
      <c r="D10" s="53"/>
      <c r="E10" s="53"/>
      <c r="F10" s="62"/>
      <c r="G10" s="53"/>
      <c r="H10" s="53"/>
      <c r="I10" s="53"/>
      <c r="J10" s="53"/>
      <c r="L10" s="53"/>
      <c r="M10" s="53"/>
      <c r="N10" s="53"/>
      <c r="O10" s="53"/>
      <c r="Q10" s="53"/>
      <c r="R10" s="53"/>
      <c r="S10" s="53"/>
      <c r="T10" s="53"/>
      <c r="U10" s="53"/>
      <c r="V10" s="53"/>
      <c r="W10" s="53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58"/>
      <c r="BD10" s="47"/>
      <c r="BE10" s="47"/>
      <c r="BF10" s="47"/>
      <c r="BG10" s="47"/>
      <c r="BH10" s="47"/>
      <c r="BI10" s="47"/>
      <c r="BJ10" s="47"/>
      <c r="BR10" s="47"/>
    </row>
    <row r="11" ht="15.75" customHeight="1">
      <c r="A11" s="47"/>
      <c r="B11" s="47"/>
      <c r="C11" s="53"/>
      <c r="D11" s="53"/>
      <c r="E11" s="53"/>
      <c r="F11" s="62"/>
      <c r="G11" s="57"/>
      <c r="H11" s="62"/>
      <c r="I11" s="62"/>
      <c r="J11" s="62"/>
      <c r="K11" s="130" t="s">
        <v>314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58"/>
      <c r="BD11" s="47"/>
      <c r="BE11" s="47"/>
      <c r="BF11" s="47"/>
      <c r="BG11" s="47"/>
      <c r="BH11" s="47"/>
      <c r="BI11" s="47"/>
      <c r="BJ11" s="47"/>
      <c r="BR11" s="47"/>
    </row>
    <row r="12" ht="15.75" customHeight="1">
      <c r="A12" s="47"/>
      <c r="B12" s="47"/>
      <c r="C12" s="53"/>
      <c r="D12" s="53"/>
      <c r="E12" s="53"/>
      <c r="F12" s="53"/>
      <c r="G12" s="53"/>
      <c r="H12" s="53"/>
      <c r="I12" s="53"/>
      <c r="J12" s="53"/>
      <c r="K12" s="130" t="s">
        <v>315</v>
      </c>
      <c r="L12" s="130" t="s">
        <v>316</v>
      </c>
      <c r="M12" s="130" t="s">
        <v>317</v>
      </c>
      <c r="N12" s="130" t="s">
        <v>318</v>
      </c>
      <c r="O12" s="53"/>
      <c r="P12" s="53"/>
      <c r="Q12" s="53"/>
      <c r="R12" s="53"/>
      <c r="S12" s="53"/>
      <c r="T12" s="53"/>
      <c r="U12" s="53"/>
      <c r="V12" s="53"/>
      <c r="W12" s="53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58"/>
      <c r="BD12" s="47"/>
      <c r="BE12" s="47"/>
      <c r="BF12" s="47"/>
      <c r="BG12" s="47"/>
      <c r="BH12" s="47"/>
      <c r="BI12" s="47"/>
      <c r="BJ12" s="47"/>
      <c r="BR12" s="47"/>
    </row>
    <row r="13" ht="15.75" customHeight="1">
      <c r="A13" s="47"/>
      <c r="B13" s="47"/>
      <c r="C13" s="53"/>
      <c r="D13" s="53"/>
      <c r="E13" s="53"/>
      <c r="F13" s="58"/>
      <c r="G13" s="58"/>
      <c r="H13" s="58"/>
      <c r="I13" s="58"/>
      <c r="J13" s="58"/>
      <c r="K13" s="131" t="s">
        <v>291</v>
      </c>
      <c r="L13" s="131" t="s">
        <v>247</v>
      </c>
      <c r="M13" s="130">
        <f t="shared" ref="M13:M16" si="24">N4</f>
        <v>24300</v>
      </c>
      <c r="N13" s="132">
        <f t="shared" ref="N13:N16" si="25">J4</f>
        <v>5000</v>
      </c>
      <c r="P13" s="59"/>
      <c r="Q13" s="59"/>
      <c r="R13" s="58"/>
      <c r="S13" s="58"/>
      <c r="T13" s="58"/>
      <c r="U13" s="58"/>
      <c r="V13" s="58"/>
      <c r="W13" s="58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58"/>
      <c r="BD13" s="47"/>
      <c r="BE13" s="47"/>
      <c r="BF13" s="47"/>
      <c r="BG13" s="47"/>
      <c r="BH13" s="47"/>
      <c r="BI13" s="47"/>
      <c r="BJ13" s="47"/>
      <c r="BR13" s="47"/>
    </row>
    <row r="14" ht="15.75" customHeight="1">
      <c r="A14" s="47"/>
      <c r="B14" s="47"/>
      <c r="C14" s="53"/>
      <c r="D14" s="53"/>
      <c r="E14" s="53"/>
      <c r="F14" s="53"/>
      <c r="G14" s="53"/>
      <c r="H14" s="53"/>
      <c r="I14" s="53"/>
      <c r="J14" s="53"/>
      <c r="K14" s="131" t="s">
        <v>300</v>
      </c>
      <c r="L14" s="131" t="s">
        <v>247</v>
      </c>
      <c r="M14" s="130">
        <f t="shared" si="24"/>
        <v>24500</v>
      </c>
      <c r="N14" s="132">
        <f t="shared" si="25"/>
        <v>5000</v>
      </c>
      <c r="P14" s="59"/>
      <c r="Q14" s="59"/>
      <c r="R14" s="53"/>
      <c r="S14" s="53"/>
      <c r="T14" s="53"/>
      <c r="U14" s="53"/>
      <c r="V14" s="53"/>
      <c r="W14" s="53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58"/>
      <c r="BD14" s="47"/>
      <c r="BE14" s="47"/>
      <c r="BF14" s="47"/>
      <c r="BG14" s="47"/>
      <c r="BH14" s="47"/>
      <c r="BI14" s="47"/>
      <c r="BJ14" s="47"/>
      <c r="BR14" s="47"/>
    </row>
    <row r="15" ht="15.75" customHeight="1">
      <c r="A15" s="47"/>
      <c r="B15" s="47"/>
      <c r="C15" s="53"/>
      <c r="D15" s="53"/>
      <c r="E15" s="53"/>
      <c r="F15" s="53"/>
      <c r="G15" s="53"/>
      <c r="H15" s="53"/>
      <c r="I15" s="53"/>
      <c r="K15" s="131" t="s">
        <v>302</v>
      </c>
      <c r="L15" s="131" t="s">
        <v>247</v>
      </c>
      <c r="M15" s="130">
        <f t="shared" si="24"/>
        <v>3100</v>
      </c>
      <c r="N15" s="132">
        <f t="shared" si="25"/>
        <v>1000</v>
      </c>
      <c r="O15" s="53"/>
      <c r="Q15" s="53"/>
      <c r="R15" s="53"/>
      <c r="S15" s="53"/>
      <c r="T15" s="53"/>
      <c r="U15" s="53"/>
      <c r="V15" s="53"/>
      <c r="W15" s="53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58"/>
      <c r="BD15" s="47"/>
      <c r="BE15" s="47"/>
      <c r="BF15" s="47"/>
      <c r="BG15" s="47"/>
      <c r="BH15" s="47"/>
      <c r="BI15" s="47"/>
      <c r="BJ15" s="47"/>
      <c r="BR15" s="47"/>
    </row>
    <row r="16" ht="15.75" customHeight="1">
      <c r="A16" s="47"/>
      <c r="B16" s="47"/>
      <c r="C16" s="53"/>
      <c r="D16" s="53"/>
      <c r="E16" s="53"/>
      <c r="F16" s="53"/>
      <c r="G16" s="53"/>
      <c r="H16" s="53"/>
      <c r="I16" s="53"/>
      <c r="J16" s="53"/>
      <c r="K16" s="131" t="s">
        <v>304</v>
      </c>
      <c r="L16" s="131" t="s">
        <v>247</v>
      </c>
      <c r="M16" s="130">
        <f t="shared" si="24"/>
        <v>17500</v>
      </c>
      <c r="N16" s="132">
        <f t="shared" si="25"/>
        <v>5000</v>
      </c>
      <c r="O16" s="53"/>
      <c r="Q16" s="53"/>
      <c r="R16" s="53"/>
      <c r="S16" s="53"/>
      <c r="T16" s="53"/>
      <c r="U16" s="53"/>
      <c r="V16" s="53"/>
      <c r="W16" s="53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58"/>
      <c r="BD16" s="47"/>
      <c r="BE16" s="47"/>
      <c r="BF16" s="47"/>
      <c r="BG16" s="47"/>
      <c r="BH16" s="47"/>
      <c r="BI16" s="47"/>
      <c r="BJ16" s="47"/>
      <c r="BR16" s="47"/>
    </row>
    <row r="17" ht="15.75" customHeight="1">
      <c r="A17" s="66"/>
      <c r="B17" s="66"/>
      <c r="C17" s="53"/>
      <c r="D17" s="53"/>
      <c r="E17" s="53"/>
      <c r="F17" s="53"/>
      <c r="G17" s="53"/>
      <c r="H17" s="53"/>
      <c r="I17" s="53"/>
      <c r="J17" s="53"/>
      <c r="K17" s="131" t="s">
        <v>319</v>
      </c>
      <c r="L17" s="131" t="s">
        <v>250</v>
      </c>
      <c r="M17" s="130">
        <f>AI8</f>
        <v>4619.1</v>
      </c>
      <c r="N17" s="132">
        <f>AE8</f>
        <v>890</v>
      </c>
      <c r="O17" s="76"/>
      <c r="P17" s="53"/>
      <c r="Q17" s="53"/>
      <c r="R17" s="53"/>
      <c r="S17" s="53"/>
      <c r="T17" s="53"/>
      <c r="U17" s="53"/>
      <c r="V17" s="53"/>
      <c r="W17" s="53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58"/>
      <c r="BD17" s="47"/>
      <c r="BE17" s="47"/>
      <c r="BF17" s="47"/>
      <c r="BG17" s="47"/>
      <c r="BH17" s="47"/>
      <c r="BI17" s="47"/>
      <c r="BJ17" s="47"/>
      <c r="BR17" s="47"/>
    </row>
    <row r="18" ht="15.75" customHeight="1">
      <c r="A18" s="47"/>
      <c r="B18" s="47"/>
      <c r="C18" s="53"/>
      <c r="D18" s="53"/>
      <c r="E18" s="53"/>
      <c r="F18" s="62"/>
      <c r="G18" s="62"/>
      <c r="H18" s="62"/>
      <c r="I18" s="62"/>
      <c r="J18" s="62"/>
      <c r="K18" s="62"/>
      <c r="L18" s="62"/>
      <c r="M18" s="133">
        <f t="shared" ref="M18:N18" si="26">sum(M13:M17)</f>
        <v>74019.1</v>
      </c>
      <c r="N18" s="133">
        <f t="shared" si="26"/>
        <v>16890</v>
      </c>
      <c r="O18" s="62"/>
      <c r="P18" s="62"/>
      <c r="Q18" s="62"/>
      <c r="R18" s="62"/>
      <c r="S18" s="62"/>
      <c r="T18" s="62"/>
      <c r="U18" s="62"/>
      <c r="V18" s="62"/>
      <c r="W18" s="62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58"/>
      <c r="BD18" s="47"/>
      <c r="BE18" s="47"/>
      <c r="BF18" s="47"/>
      <c r="BG18" s="47"/>
      <c r="BH18" s="47"/>
      <c r="BI18" s="47"/>
      <c r="BJ18" s="47"/>
      <c r="BR18" s="47"/>
    </row>
    <row r="19" ht="15.75" customHeight="1">
      <c r="A19" s="47"/>
      <c r="B19" s="47"/>
      <c r="C19" s="53"/>
      <c r="D19" s="53"/>
      <c r="E19" s="53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58"/>
      <c r="BD19" s="47"/>
      <c r="BE19" s="47"/>
      <c r="BF19" s="47"/>
      <c r="BG19" s="47"/>
      <c r="BH19" s="47"/>
      <c r="BI19" s="47"/>
      <c r="BJ19" s="47"/>
      <c r="BR19" s="47"/>
    </row>
    <row r="20" ht="15.75" customHeight="1">
      <c r="A20" s="66"/>
      <c r="B20" s="66"/>
      <c r="C20" s="53"/>
      <c r="D20" s="53"/>
      <c r="E20" s="53"/>
      <c r="F20" s="53"/>
      <c r="G20" s="53"/>
      <c r="H20" s="53"/>
      <c r="I20" s="53"/>
      <c r="J20" s="53"/>
      <c r="K20" s="130" t="s">
        <v>251</v>
      </c>
      <c r="L20" s="62"/>
      <c r="M20" s="62"/>
      <c r="N20" s="62"/>
      <c r="O20" s="53"/>
      <c r="P20" s="53"/>
      <c r="Q20" s="53"/>
      <c r="R20" s="53"/>
      <c r="S20" s="53"/>
      <c r="T20" s="53"/>
      <c r="U20" s="53"/>
      <c r="V20" s="53"/>
      <c r="W20" s="53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58"/>
      <c r="BD20" s="47"/>
      <c r="BE20" s="47"/>
      <c r="BF20" s="47"/>
      <c r="BG20" s="47"/>
      <c r="BH20" s="47"/>
      <c r="BI20" s="47"/>
      <c r="BJ20" s="47"/>
      <c r="BR20" s="47"/>
    </row>
    <row r="21" ht="15.75" customHeight="1">
      <c r="A21" s="47"/>
      <c r="B21" s="47"/>
      <c r="C21" s="53"/>
      <c r="D21" s="53"/>
      <c r="E21" s="53"/>
      <c r="F21" s="53"/>
      <c r="G21" s="53"/>
      <c r="H21" s="53"/>
      <c r="I21" s="53"/>
      <c r="J21" s="53"/>
      <c r="K21" s="130" t="s">
        <v>315</v>
      </c>
      <c r="L21" s="130" t="s">
        <v>316</v>
      </c>
      <c r="M21" s="130" t="s">
        <v>317</v>
      </c>
      <c r="N21" s="130" t="s">
        <v>318</v>
      </c>
      <c r="O21" s="53"/>
      <c r="P21" s="53"/>
      <c r="Q21" s="53"/>
      <c r="R21" s="53"/>
      <c r="S21" s="53"/>
      <c r="T21" s="67"/>
      <c r="U21" s="67"/>
      <c r="V21" s="67"/>
      <c r="W21" s="6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58"/>
      <c r="BD21" s="47"/>
      <c r="BE21" s="47"/>
      <c r="BF21" s="47"/>
      <c r="BG21" s="47"/>
      <c r="BH21" s="47"/>
      <c r="BI21" s="47"/>
      <c r="BJ21" s="47"/>
      <c r="BR21" s="47"/>
    </row>
    <row r="22" ht="15.75" customHeight="1">
      <c r="A22" s="47"/>
      <c r="B22" s="47"/>
      <c r="C22" s="53"/>
      <c r="D22" s="53"/>
      <c r="E22" s="53"/>
      <c r="F22" s="53"/>
      <c r="G22" s="53"/>
      <c r="H22" s="53"/>
      <c r="I22" s="53"/>
      <c r="J22" s="53"/>
      <c r="K22" s="131" t="s">
        <v>291</v>
      </c>
      <c r="L22" s="131" t="s">
        <v>248</v>
      </c>
      <c r="M22" s="130">
        <f t="shared" ref="M22:M23" si="27">U4</f>
        <v>7300</v>
      </c>
      <c r="N22" s="132">
        <v>2000.0</v>
      </c>
      <c r="O22" s="53"/>
      <c r="P22" s="53"/>
      <c r="Q22" s="53"/>
      <c r="R22" s="53"/>
      <c r="S22" s="53"/>
      <c r="T22" s="53"/>
      <c r="U22" s="53"/>
      <c r="V22" s="53"/>
      <c r="W22" s="53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58"/>
      <c r="BD22" s="47"/>
      <c r="BE22" s="47"/>
      <c r="BF22" s="47"/>
      <c r="BG22" s="47"/>
      <c r="BH22" s="47"/>
      <c r="BI22" s="47"/>
      <c r="BJ22" s="47"/>
      <c r="BR22" s="47"/>
    </row>
    <row r="23" ht="15.75" customHeight="1">
      <c r="A23" s="66"/>
      <c r="B23" s="66"/>
      <c r="C23" s="53"/>
      <c r="D23" s="53"/>
      <c r="E23" s="53"/>
      <c r="F23" s="53"/>
      <c r="G23" s="53"/>
      <c r="H23" s="53"/>
      <c r="I23" s="53"/>
      <c r="J23" s="53"/>
      <c r="K23" s="131" t="s">
        <v>300</v>
      </c>
      <c r="L23" s="131" t="s">
        <v>248</v>
      </c>
      <c r="M23" s="130">
        <f t="shared" si="27"/>
        <v>9400</v>
      </c>
      <c r="N23" s="132">
        <v>2000.0</v>
      </c>
      <c r="O23" s="53"/>
      <c r="P23" s="53"/>
      <c r="Q23" s="53"/>
      <c r="R23" s="53"/>
      <c r="S23" s="53"/>
      <c r="T23" s="53"/>
      <c r="U23" s="53"/>
      <c r="V23" s="53"/>
      <c r="W23" s="53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58"/>
      <c r="BD23" s="47"/>
      <c r="BE23" s="47"/>
      <c r="BF23" s="47"/>
      <c r="BG23" s="47"/>
      <c r="BH23" s="47"/>
      <c r="BI23" s="47"/>
      <c r="BJ23" s="47"/>
      <c r="BR23" s="47"/>
    </row>
    <row r="24" ht="15.75" customHeight="1">
      <c r="A24" s="47"/>
      <c r="B24" s="47"/>
      <c r="C24" s="62"/>
      <c r="D24" s="62"/>
      <c r="E24" s="62"/>
      <c r="F24" s="62"/>
      <c r="G24" s="62"/>
      <c r="H24" s="62"/>
      <c r="I24" s="62"/>
      <c r="J24" s="62"/>
      <c r="K24" s="131" t="s">
        <v>302</v>
      </c>
      <c r="L24" s="134" t="s">
        <v>249</v>
      </c>
      <c r="M24" s="130">
        <f>AB6</f>
        <v>4070</v>
      </c>
      <c r="N24" s="132">
        <f>X6</f>
        <v>1000</v>
      </c>
      <c r="O24" s="62"/>
      <c r="P24" s="62"/>
      <c r="Q24" s="62"/>
      <c r="R24" s="62"/>
      <c r="S24" s="62"/>
      <c r="T24" s="53"/>
      <c r="U24" s="53"/>
      <c r="V24" s="53"/>
      <c r="W24" s="53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58"/>
      <c r="BD24" s="47"/>
      <c r="BE24" s="47"/>
      <c r="BF24" s="47"/>
      <c r="BG24" s="47"/>
      <c r="BH24" s="47"/>
      <c r="BI24" s="47"/>
      <c r="BJ24" s="47"/>
      <c r="BR24" s="47"/>
    </row>
    <row r="25" ht="15.75" customHeight="1">
      <c r="A25" s="47"/>
      <c r="B25" s="47"/>
      <c r="C25" s="53"/>
      <c r="D25" s="53"/>
      <c r="E25" s="53"/>
      <c r="F25" s="53"/>
      <c r="G25" s="53"/>
      <c r="H25" s="53"/>
      <c r="I25" s="53"/>
      <c r="J25" s="53"/>
      <c r="K25" s="131" t="s">
        <v>304</v>
      </c>
      <c r="L25" s="131" t="s">
        <v>247</v>
      </c>
      <c r="M25" s="130">
        <f>N7</f>
        <v>17500</v>
      </c>
      <c r="N25" s="132">
        <f>J7</f>
        <v>5000</v>
      </c>
      <c r="O25" s="53"/>
      <c r="P25" s="53"/>
      <c r="Q25" s="53"/>
      <c r="R25" s="53"/>
      <c r="S25" s="53"/>
      <c r="T25" s="53"/>
      <c r="U25" s="53"/>
      <c r="V25" s="53"/>
      <c r="W25" s="53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58"/>
      <c r="BD25" s="47"/>
      <c r="BE25" s="47"/>
      <c r="BF25" s="47"/>
      <c r="BG25" s="47"/>
      <c r="BH25" s="47"/>
      <c r="BI25" s="47"/>
      <c r="BJ25" s="47"/>
      <c r="BR25" s="47"/>
    </row>
    <row r="26" ht="15.75" customHeight="1">
      <c r="A26" s="47"/>
      <c r="B26" s="47"/>
      <c r="C26" s="53"/>
      <c r="D26" s="53"/>
      <c r="E26" s="53"/>
      <c r="F26" s="53"/>
      <c r="G26" s="53"/>
      <c r="H26" s="53"/>
      <c r="I26" s="53"/>
      <c r="J26" s="53"/>
      <c r="K26" s="131" t="s">
        <v>319</v>
      </c>
      <c r="L26" s="131" t="s">
        <v>250</v>
      </c>
      <c r="M26" s="130">
        <f>AI8</f>
        <v>4619.1</v>
      </c>
      <c r="N26" s="132">
        <f>AE8</f>
        <v>890</v>
      </c>
      <c r="O26" s="53"/>
      <c r="P26" s="53"/>
      <c r="Q26" s="53"/>
      <c r="R26" s="53"/>
      <c r="S26" s="53"/>
      <c r="T26" s="53"/>
      <c r="U26" s="53"/>
      <c r="V26" s="53"/>
      <c r="W26" s="53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58"/>
      <c r="BD26" s="47"/>
      <c r="BE26" s="47"/>
      <c r="BF26" s="47"/>
      <c r="BG26" s="47"/>
      <c r="BH26" s="47"/>
      <c r="BI26" s="47"/>
      <c r="BJ26" s="47"/>
      <c r="BR26" s="47"/>
    </row>
    <row r="27" ht="15.75" customHeight="1">
      <c r="A27" s="47"/>
      <c r="B27" s="47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133">
        <f t="shared" ref="M27:N27" si="28">sum(M22:M26)</f>
        <v>42889.1</v>
      </c>
      <c r="N27" s="135">
        <f t="shared" si="28"/>
        <v>10890</v>
      </c>
      <c r="O27" s="53" t="str">
        <f>Q15</f>
        <v/>
      </c>
      <c r="P27" s="53"/>
      <c r="Q27" s="53"/>
      <c r="R27" s="53"/>
      <c r="S27" s="53"/>
      <c r="T27" s="53"/>
      <c r="U27" s="53"/>
      <c r="V27" s="53"/>
      <c r="W27" s="53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58"/>
      <c r="BD27" s="47"/>
      <c r="BE27" s="47"/>
      <c r="BF27" s="47"/>
      <c r="BG27" s="47"/>
      <c r="BH27" s="47"/>
      <c r="BI27" s="47"/>
      <c r="BJ27" s="47"/>
      <c r="BR27" s="47"/>
    </row>
    <row r="28" ht="15.75" customHeight="1">
      <c r="A28" s="66"/>
      <c r="B28" s="66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P28" s="53"/>
      <c r="Q28" s="53"/>
      <c r="R28" s="53"/>
      <c r="S28" s="53"/>
      <c r="T28" s="53"/>
      <c r="U28" s="53"/>
      <c r="V28" s="53"/>
      <c r="W28" s="53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58"/>
      <c r="BD28" s="47"/>
      <c r="BE28" s="47"/>
      <c r="BF28" s="47"/>
      <c r="BG28" s="47"/>
      <c r="BH28" s="47"/>
      <c r="BI28" s="47"/>
      <c r="BJ28" s="47"/>
      <c r="BR28" s="47"/>
    </row>
    <row r="29" ht="15.75" customHeight="1">
      <c r="A29" s="47"/>
      <c r="B29" s="47"/>
      <c r="C29" s="53"/>
      <c r="D29" s="53"/>
      <c r="E29" s="53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58"/>
      <c r="BD29" s="47"/>
      <c r="BE29" s="47"/>
      <c r="BF29" s="47"/>
      <c r="BG29" s="47"/>
      <c r="BH29" s="47"/>
      <c r="BI29" s="47"/>
      <c r="BJ29" s="47"/>
      <c r="BR29" s="47"/>
    </row>
    <row r="30" ht="15.75" customHeight="1">
      <c r="A30" s="47"/>
      <c r="B30" s="47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58"/>
      <c r="BD30" s="47"/>
      <c r="BE30" s="47"/>
      <c r="BF30" s="47"/>
      <c r="BG30" s="47"/>
      <c r="BH30" s="47"/>
      <c r="BI30" s="47"/>
      <c r="BJ30" s="47"/>
      <c r="BR30" s="47"/>
    </row>
    <row r="31" ht="15.75" customHeight="1">
      <c r="A31" s="47"/>
      <c r="B31" s="47"/>
      <c r="C31" s="53"/>
      <c r="D31" s="53"/>
      <c r="E31" s="53"/>
      <c r="F31" s="58"/>
      <c r="G31" s="58"/>
      <c r="H31" s="58"/>
      <c r="I31" s="136"/>
      <c r="J31" s="131"/>
      <c r="K31" s="137" t="s">
        <v>247</v>
      </c>
      <c r="L31" s="131" t="s">
        <v>320</v>
      </c>
      <c r="M31" s="134" t="s">
        <v>249</v>
      </c>
      <c r="N31" s="134" t="s">
        <v>250</v>
      </c>
      <c r="O31" s="131" t="s">
        <v>321</v>
      </c>
      <c r="P31" s="58"/>
      <c r="Q31" s="58"/>
      <c r="R31" s="58"/>
      <c r="S31" s="58"/>
      <c r="T31" s="58"/>
      <c r="U31" s="58"/>
      <c r="V31" s="58"/>
      <c r="W31" s="58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58"/>
      <c r="BD31" s="47"/>
      <c r="BE31" s="47"/>
      <c r="BF31" s="47"/>
      <c r="BG31" s="47"/>
      <c r="BH31" s="47"/>
      <c r="BI31" s="47"/>
      <c r="BJ31" s="47"/>
      <c r="BR31" s="47"/>
    </row>
    <row r="32" ht="15.75" customHeight="1">
      <c r="A32" s="47"/>
      <c r="B32" s="47"/>
      <c r="C32" s="53"/>
      <c r="D32" s="53"/>
      <c r="E32" s="53"/>
      <c r="F32" s="53"/>
      <c r="G32" s="53"/>
      <c r="H32" s="53"/>
      <c r="I32" s="131" t="s">
        <v>322</v>
      </c>
      <c r="J32" s="138"/>
      <c r="K32" s="139" t="s">
        <v>247</v>
      </c>
      <c r="L32" s="139" t="s">
        <v>320</v>
      </c>
      <c r="M32" s="140" t="s">
        <v>323</v>
      </c>
      <c r="N32" s="141" t="s">
        <v>324</v>
      </c>
      <c r="O32" s="131"/>
      <c r="P32" s="53"/>
      <c r="Q32" s="53"/>
      <c r="R32" s="53"/>
      <c r="S32" s="53"/>
      <c r="T32" s="53"/>
      <c r="U32" s="53"/>
      <c r="V32" s="53"/>
      <c r="W32" s="53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58"/>
      <c r="BD32" s="47"/>
      <c r="BE32" s="47"/>
      <c r="BF32" s="47"/>
      <c r="BG32" s="47"/>
      <c r="BH32" s="47"/>
      <c r="BI32" s="47"/>
      <c r="BJ32" s="47"/>
      <c r="BR32" s="47"/>
    </row>
    <row r="33" ht="15.75" customHeight="1">
      <c r="A33" s="47"/>
      <c r="B33" s="47"/>
      <c r="C33" s="53"/>
      <c r="D33" s="53"/>
      <c r="E33" s="53"/>
      <c r="F33" s="53"/>
      <c r="G33" s="53"/>
      <c r="H33" s="53"/>
      <c r="I33" s="131" t="s">
        <v>325</v>
      </c>
      <c r="J33" s="138"/>
      <c r="K33" s="131" t="s">
        <v>326</v>
      </c>
      <c r="L33" s="131" t="s">
        <v>327</v>
      </c>
      <c r="M33" s="131" t="s">
        <v>327</v>
      </c>
      <c r="N33" s="134" t="s">
        <v>328</v>
      </c>
      <c r="O33" s="131"/>
      <c r="P33" s="53"/>
      <c r="Q33" s="53"/>
      <c r="R33" s="53"/>
      <c r="S33" s="53"/>
      <c r="T33" s="53"/>
      <c r="U33" s="53"/>
      <c r="V33" s="53"/>
      <c r="W33" s="53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58"/>
      <c r="BD33" s="47"/>
      <c r="BE33" s="47"/>
      <c r="BF33" s="47"/>
      <c r="BG33" s="47"/>
      <c r="BH33" s="47"/>
      <c r="BI33" s="47"/>
      <c r="BJ33" s="47"/>
      <c r="BR33" s="47"/>
    </row>
    <row r="34" ht="15.75" customHeight="1">
      <c r="A34" s="47"/>
      <c r="B34" s="47"/>
      <c r="C34" s="53"/>
      <c r="D34" s="53"/>
      <c r="E34" s="53"/>
      <c r="F34" s="53"/>
      <c r="G34" s="53"/>
      <c r="H34" s="53"/>
      <c r="I34" s="131" t="s">
        <v>329</v>
      </c>
      <c r="J34" s="138"/>
      <c r="K34" s="131">
        <v>5000.0</v>
      </c>
      <c r="L34" s="131" t="s">
        <v>330</v>
      </c>
      <c r="M34" s="131">
        <v>1000.0</v>
      </c>
      <c r="N34" s="134">
        <v>890.0</v>
      </c>
      <c r="O34" s="131" t="s">
        <v>331</v>
      </c>
      <c r="P34" s="53"/>
      <c r="Q34" s="53"/>
      <c r="R34" s="53"/>
      <c r="S34" s="53"/>
      <c r="T34" s="53"/>
      <c r="U34" s="53"/>
      <c r="V34" s="53"/>
      <c r="W34" s="53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58"/>
      <c r="BD34" s="47"/>
      <c r="BE34" s="47"/>
      <c r="BF34" s="47"/>
      <c r="BG34" s="47"/>
      <c r="BH34" s="47"/>
      <c r="BI34" s="47"/>
      <c r="BJ34" s="47"/>
      <c r="BR34" s="47"/>
    </row>
    <row r="35" ht="15.75" customHeight="1">
      <c r="A35" s="47"/>
      <c r="B35" s="47"/>
      <c r="C35" s="53"/>
      <c r="D35" s="53"/>
      <c r="E35" s="53"/>
      <c r="F35" s="53"/>
      <c r="G35" s="53"/>
      <c r="H35" s="53"/>
      <c r="I35" s="131" t="s">
        <v>332</v>
      </c>
      <c r="J35" s="138"/>
      <c r="K35" s="142">
        <v>0.24</v>
      </c>
      <c r="L35" s="143">
        <v>0.22</v>
      </c>
      <c r="M35" s="143">
        <v>0.22</v>
      </c>
      <c r="N35" s="144">
        <v>0.21</v>
      </c>
      <c r="O35" s="131"/>
      <c r="P35" s="53"/>
      <c r="Q35" s="53"/>
      <c r="R35" s="53"/>
      <c r="S35" s="53"/>
      <c r="T35" s="53"/>
      <c r="U35" s="53"/>
      <c r="V35" s="53"/>
      <c r="W35" s="53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58"/>
      <c r="BD35" s="47"/>
      <c r="BE35" s="47"/>
      <c r="BF35" s="47"/>
      <c r="BG35" s="47"/>
      <c r="BH35" s="47"/>
      <c r="BI35" s="47"/>
      <c r="BJ35" s="47"/>
      <c r="BR35" s="47"/>
    </row>
    <row r="36" ht="15.75" customHeight="1">
      <c r="A36" s="47"/>
      <c r="B36" s="47"/>
      <c r="C36" s="53"/>
      <c r="D36" s="53"/>
      <c r="E36" s="53"/>
      <c r="F36" s="53"/>
      <c r="G36" s="53"/>
      <c r="H36" s="53"/>
      <c r="I36" s="131" t="s">
        <v>333</v>
      </c>
      <c r="J36" s="138"/>
      <c r="K36" s="131" t="s">
        <v>334</v>
      </c>
      <c r="L36" s="131" t="s">
        <v>334</v>
      </c>
      <c r="M36" s="134" t="s">
        <v>335</v>
      </c>
      <c r="N36" s="134" t="s">
        <v>336</v>
      </c>
      <c r="O36" s="131"/>
      <c r="P36" s="53"/>
      <c r="Q36" s="53"/>
      <c r="R36" s="53"/>
      <c r="S36" s="53"/>
      <c r="T36" s="53"/>
      <c r="U36" s="53"/>
      <c r="V36" s="53"/>
      <c r="W36" s="53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58"/>
      <c r="BD36" s="47"/>
      <c r="BE36" s="47"/>
      <c r="BF36" s="47"/>
      <c r="BG36" s="47"/>
      <c r="BH36" s="47"/>
      <c r="BI36" s="47"/>
      <c r="BJ36" s="47"/>
      <c r="BR36" s="47"/>
    </row>
    <row r="37" ht="15.75" customHeight="1">
      <c r="A37" s="47"/>
      <c r="B37" s="47"/>
      <c r="C37" s="53"/>
      <c r="D37" s="53"/>
      <c r="E37" s="53"/>
      <c r="F37" s="62"/>
      <c r="G37" s="62"/>
      <c r="H37" s="62"/>
      <c r="I37" s="131" t="s">
        <v>337</v>
      </c>
      <c r="J37" s="138"/>
      <c r="K37" s="131" t="s">
        <v>338</v>
      </c>
      <c r="L37" s="131" t="s">
        <v>338</v>
      </c>
      <c r="M37" s="134" t="s">
        <v>338</v>
      </c>
      <c r="N37" s="134" t="s">
        <v>338</v>
      </c>
      <c r="O37" s="131"/>
      <c r="P37" s="62"/>
      <c r="Q37" s="62"/>
      <c r="R37" s="62"/>
      <c r="S37" s="62"/>
      <c r="T37" s="53"/>
      <c r="U37" s="53"/>
      <c r="V37" s="53"/>
      <c r="W37" s="53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58"/>
      <c r="BD37" s="47"/>
      <c r="BE37" s="47"/>
      <c r="BF37" s="47"/>
      <c r="BG37" s="47"/>
      <c r="BH37" s="47"/>
      <c r="BI37" s="47"/>
      <c r="BJ37" s="47"/>
      <c r="BR37" s="47"/>
    </row>
    <row r="38" ht="15.75" customHeight="1">
      <c r="A38" s="47"/>
      <c r="B38" s="47"/>
      <c r="C38" s="53"/>
      <c r="D38" s="53"/>
      <c r="E38" s="53"/>
      <c r="F38" s="53"/>
      <c r="G38" s="53"/>
      <c r="H38" s="53"/>
      <c r="I38" s="131" t="s">
        <v>339</v>
      </c>
      <c r="J38" s="138"/>
      <c r="K38" s="131" t="s">
        <v>340</v>
      </c>
      <c r="L38" s="131" t="s">
        <v>340</v>
      </c>
      <c r="M38" s="131" t="s">
        <v>340</v>
      </c>
      <c r="N38" s="134" t="s">
        <v>341</v>
      </c>
      <c r="O38" s="131"/>
      <c r="P38" s="53"/>
      <c r="Q38" s="53"/>
      <c r="R38" s="53"/>
      <c r="S38" s="53"/>
      <c r="T38" s="53"/>
      <c r="U38" s="53"/>
      <c r="V38" s="53"/>
      <c r="W38" s="53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58"/>
      <c r="BD38" s="47"/>
      <c r="BE38" s="47"/>
      <c r="BF38" s="47"/>
      <c r="BG38" s="47"/>
      <c r="BH38" s="47"/>
      <c r="BI38" s="47"/>
      <c r="BJ38" s="47"/>
      <c r="BR38" s="47"/>
    </row>
    <row r="39" ht="15.75" customHeight="1">
      <c r="A39" s="47"/>
      <c r="B39" s="47"/>
      <c r="C39" s="53"/>
      <c r="D39" s="53"/>
      <c r="E39" s="53"/>
      <c r="F39" s="53"/>
      <c r="G39" s="53"/>
      <c r="H39" s="53"/>
      <c r="I39" s="131" t="s">
        <v>342</v>
      </c>
      <c r="J39" s="138"/>
      <c r="K39" s="145" t="s">
        <v>338</v>
      </c>
      <c r="L39" s="131" t="s">
        <v>341</v>
      </c>
      <c r="M39" s="145" t="s">
        <v>338</v>
      </c>
      <c r="N39" s="145" t="s">
        <v>338</v>
      </c>
      <c r="O39" s="131"/>
      <c r="P39" s="53"/>
      <c r="Q39" s="53"/>
      <c r="R39" s="53"/>
      <c r="S39" s="53"/>
      <c r="T39" s="53"/>
      <c r="U39" s="53"/>
      <c r="V39" s="53"/>
      <c r="W39" s="53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58"/>
      <c r="BD39" s="47"/>
      <c r="BE39" s="47"/>
      <c r="BF39" s="47"/>
      <c r="BG39" s="47"/>
      <c r="BH39" s="47"/>
      <c r="BI39" s="47"/>
      <c r="BJ39" s="47"/>
      <c r="BR39" s="47"/>
    </row>
    <row r="40" ht="15.75" customHeight="1">
      <c r="A40" s="47"/>
      <c r="B40" s="47"/>
      <c r="C40" s="53"/>
      <c r="D40" s="53"/>
      <c r="E40" s="53"/>
      <c r="F40" s="53"/>
      <c r="G40" s="53"/>
      <c r="H40" s="53"/>
      <c r="I40" s="131" t="s">
        <v>343</v>
      </c>
      <c r="J40" s="131"/>
      <c r="K40" s="145" t="s">
        <v>341</v>
      </c>
      <c r="L40" s="131" t="s">
        <v>344</v>
      </c>
      <c r="M40" s="145" t="s">
        <v>341</v>
      </c>
      <c r="N40" s="146" t="s">
        <v>341</v>
      </c>
      <c r="O40" s="131"/>
      <c r="P40" s="53"/>
      <c r="Q40" s="53"/>
      <c r="R40" s="53"/>
      <c r="S40" s="53"/>
      <c r="T40" s="53"/>
      <c r="U40" s="53"/>
      <c r="V40" s="53"/>
      <c r="W40" s="53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58"/>
      <c r="BD40" s="47"/>
      <c r="BE40" s="47"/>
      <c r="BF40" s="47"/>
      <c r="BG40" s="47"/>
      <c r="BH40" s="47"/>
      <c r="BI40" s="47"/>
      <c r="BJ40" s="47"/>
      <c r="BR40" s="47"/>
    </row>
    <row r="41" ht="15.75" customHeight="1">
      <c r="A41" s="47"/>
      <c r="B41" s="47"/>
      <c r="C41" s="62"/>
      <c r="D41" s="62"/>
      <c r="E41" s="62"/>
      <c r="F41" s="62"/>
      <c r="G41" s="62"/>
      <c r="H41" s="62"/>
      <c r="I41" s="131" t="s">
        <v>345</v>
      </c>
      <c r="J41" s="131"/>
      <c r="K41" s="145" t="s">
        <v>338</v>
      </c>
      <c r="L41" s="131" t="s">
        <v>346</v>
      </c>
      <c r="M41" s="134" t="s">
        <v>341</v>
      </c>
      <c r="N41" s="134" t="s">
        <v>341</v>
      </c>
      <c r="O41" s="131"/>
      <c r="P41" s="62"/>
      <c r="Q41" s="62"/>
      <c r="R41" s="62"/>
      <c r="S41" s="62"/>
      <c r="T41" s="53"/>
      <c r="U41" s="53"/>
      <c r="V41" s="53"/>
      <c r="W41" s="53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58"/>
      <c r="BD41" s="47"/>
      <c r="BE41" s="47"/>
      <c r="BF41" s="47"/>
      <c r="BG41" s="47"/>
      <c r="BH41" s="47"/>
      <c r="BI41" s="47"/>
      <c r="BJ41" s="47"/>
      <c r="BR41" s="47"/>
    </row>
    <row r="42" ht="15.75" customHeight="1">
      <c r="A42" s="47"/>
      <c r="B42" s="47"/>
      <c r="C42" s="59"/>
      <c r="D42" s="59"/>
      <c r="E42" s="59"/>
      <c r="F42" s="59"/>
      <c r="G42" s="59"/>
      <c r="H42" s="59"/>
      <c r="I42" s="132" t="s">
        <v>347</v>
      </c>
      <c r="J42" s="131"/>
      <c r="K42" s="130">
        <f>M18</f>
        <v>74019.1</v>
      </c>
      <c r="L42" s="130">
        <f>U9</f>
        <v>32450</v>
      </c>
      <c r="M42" s="130">
        <f>AB9</f>
        <v>18650</v>
      </c>
      <c r="N42" s="130">
        <f>AI8</f>
        <v>4619.1</v>
      </c>
      <c r="O42" s="131"/>
      <c r="P42" s="59"/>
      <c r="Q42" s="59"/>
      <c r="R42" s="59"/>
      <c r="S42" s="59"/>
      <c r="T42" s="53"/>
      <c r="U42" s="53"/>
      <c r="V42" s="53"/>
      <c r="W42" s="53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58"/>
      <c r="BD42" s="47"/>
      <c r="BE42" s="47"/>
      <c r="BF42" s="47"/>
      <c r="BG42" s="47"/>
      <c r="BH42" s="47"/>
      <c r="BI42" s="47"/>
      <c r="BJ42" s="47"/>
      <c r="BR42" s="47"/>
    </row>
    <row r="43" ht="15.75" customHeight="1">
      <c r="A43" s="47"/>
      <c r="B43" s="47"/>
      <c r="C43" s="53"/>
      <c r="D43" s="53"/>
      <c r="E43" s="53"/>
      <c r="F43" s="53"/>
      <c r="G43" s="53"/>
      <c r="H43" s="53"/>
      <c r="I43" s="131" t="s">
        <v>348</v>
      </c>
      <c r="J43" s="131"/>
      <c r="K43" s="131" t="s">
        <v>349</v>
      </c>
      <c r="L43" s="131" t="s">
        <v>349</v>
      </c>
      <c r="M43" s="134" t="s">
        <v>350</v>
      </c>
      <c r="N43" s="131" t="s">
        <v>349</v>
      </c>
      <c r="O43" s="131"/>
      <c r="P43" s="53"/>
      <c r="Q43" s="53"/>
      <c r="R43" s="53"/>
      <c r="S43" s="53"/>
      <c r="T43" s="53"/>
      <c r="U43" s="53"/>
      <c r="V43" s="53"/>
      <c r="W43" s="53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58"/>
      <c r="BD43" s="47"/>
      <c r="BE43" s="47"/>
      <c r="BF43" s="47"/>
      <c r="BG43" s="47"/>
      <c r="BH43" s="47"/>
      <c r="BI43" s="47"/>
      <c r="BJ43" s="47"/>
      <c r="BR43" s="47"/>
    </row>
    <row r="44" ht="15.75" customHeight="1">
      <c r="A44" s="47"/>
      <c r="B44" s="47"/>
      <c r="C44" s="53"/>
      <c r="D44" s="53"/>
      <c r="E44" s="53"/>
      <c r="F44" s="53"/>
      <c r="G44" s="53"/>
      <c r="H44" s="53"/>
      <c r="I44" s="134" t="s">
        <v>351</v>
      </c>
      <c r="J44" s="131"/>
      <c r="K44" s="134" t="s">
        <v>352</v>
      </c>
      <c r="L44" s="147" t="s">
        <v>353</v>
      </c>
      <c r="M44" s="147" t="s">
        <v>354</v>
      </c>
      <c r="N44" s="147" t="s">
        <v>354</v>
      </c>
      <c r="O44" s="147"/>
      <c r="P44" s="53"/>
      <c r="Q44" s="53"/>
      <c r="R44" s="53"/>
      <c r="S44" s="53"/>
      <c r="T44" s="53"/>
      <c r="U44" s="53"/>
      <c r="V44" s="53"/>
      <c r="W44" s="53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58"/>
      <c r="BD44" s="47"/>
      <c r="BE44" s="47"/>
      <c r="BF44" s="47"/>
      <c r="BG44" s="47"/>
      <c r="BH44" s="47"/>
      <c r="BI44" s="47"/>
      <c r="BJ44" s="47"/>
      <c r="BR44" s="47"/>
    </row>
    <row r="45" ht="15.75" customHeight="1">
      <c r="A45" s="47"/>
      <c r="B45" s="47"/>
      <c r="C45" s="53"/>
      <c r="D45" s="53"/>
      <c r="E45" s="53"/>
      <c r="F45" s="53"/>
      <c r="G45" s="53"/>
      <c r="H45" s="53"/>
      <c r="I45" s="53"/>
      <c r="J45" s="47"/>
      <c r="K45" s="47"/>
      <c r="L45" s="47"/>
      <c r="M45" s="47"/>
      <c r="N45" s="47"/>
      <c r="O45" s="53"/>
      <c r="P45" s="53"/>
      <c r="Q45" s="53"/>
      <c r="R45" s="53"/>
      <c r="S45" s="53"/>
      <c r="T45" s="53"/>
      <c r="U45" s="53"/>
      <c r="V45" s="53"/>
      <c r="W45" s="53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58"/>
      <c r="BD45" s="47"/>
      <c r="BE45" s="47"/>
      <c r="BF45" s="47"/>
      <c r="BG45" s="47"/>
      <c r="BH45" s="47"/>
      <c r="BI45" s="47"/>
      <c r="BJ45" s="47"/>
      <c r="BR45" s="47"/>
    </row>
    <row r="46" ht="15.75" customHeight="1">
      <c r="A46" s="47"/>
      <c r="B46" s="47"/>
      <c r="C46" s="47"/>
      <c r="D46" s="47"/>
      <c r="E46" s="47"/>
      <c r="F46" s="62"/>
      <c r="G46" s="62"/>
      <c r="H46" s="62"/>
      <c r="I46" s="62"/>
      <c r="J46" s="47"/>
      <c r="K46" s="47"/>
      <c r="L46" s="47"/>
      <c r="M46" s="47"/>
      <c r="N46" s="47"/>
      <c r="O46" s="62"/>
      <c r="P46" s="62"/>
      <c r="Q46" s="62"/>
      <c r="R46" s="62"/>
      <c r="S46" s="62"/>
      <c r="T46" s="53"/>
      <c r="U46" s="53"/>
      <c r="V46" s="53"/>
      <c r="W46" s="53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58"/>
      <c r="BD46" s="47"/>
      <c r="BE46" s="47"/>
      <c r="BF46" s="47"/>
      <c r="BG46" s="47"/>
      <c r="BH46" s="47"/>
      <c r="BI46" s="47"/>
      <c r="BJ46" s="47"/>
      <c r="BR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62"/>
      <c r="P47" s="62"/>
      <c r="Q47" s="62"/>
      <c r="R47" s="62"/>
      <c r="S47" s="62"/>
      <c r="T47" s="62"/>
      <c r="U47" s="62"/>
      <c r="V47" s="62"/>
      <c r="W47" s="62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58"/>
      <c r="BD47" s="47"/>
      <c r="BE47" s="47"/>
      <c r="BF47" s="47"/>
      <c r="BG47" s="47"/>
      <c r="BH47" s="47"/>
      <c r="BI47" s="47"/>
      <c r="BJ47" s="47"/>
      <c r="BR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62"/>
      <c r="P48" s="62"/>
      <c r="Q48" s="62"/>
      <c r="R48" s="62"/>
      <c r="S48" s="62"/>
      <c r="T48" s="62"/>
      <c r="U48" s="62"/>
      <c r="V48" s="62"/>
      <c r="W48" s="62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58"/>
      <c r="BD48" s="47"/>
      <c r="BE48" s="47"/>
      <c r="BF48" s="47"/>
      <c r="BG48" s="47"/>
      <c r="BH48" s="47"/>
      <c r="BI48" s="47"/>
      <c r="BJ48" s="47"/>
      <c r="BR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71"/>
      <c r="U49" s="71"/>
      <c r="V49" s="71"/>
      <c r="W49" s="71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58"/>
      <c r="BD49" s="47"/>
      <c r="BE49" s="47"/>
      <c r="BF49" s="47"/>
      <c r="BG49" s="47"/>
      <c r="BH49" s="47"/>
      <c r="BI49" s="47"/>
      <c r="BJ49" s="47"/>
      <c r="BR49" s="47"/>
    </row>
    <row r="50" ht="15.75" customHeight="1">
      <c r="A50" s="47"/>
      <c r="B50" s="47"/>
      <c r="C50" s="47"/>
      <c r="D50" s="47"/>
      <c r="E50" s="47"/>
      <c r="F50" s="71"/>
      <c r="G50" s="71"/>
      <c r="H50" s="71"/>
      <c r="I50" s="71"/>
      <c r="J50" s="47"/>
      <c r="K50" s="47"/>
      <c r="L50" s="47"/>
      <c r="M50" s="47"/>
      <c r="N50" s="47"/>
      <c r="O50" s="71"/>
      <c r="P50" s="71"/>
      <c r="Q50" s="71"/>
      <c r="R50" s="71"/>
      <c r="S50" s="71"/>
      <c r="T50" s="71"/>
      <c r="U50" s="71"/>
      <c r="V50" s="71"/>
      <c r="W50" s="71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58"/>
      <c r="BD50" s="47"/>
      <c r="BE50" s="47"/>
      <c r="BF50" s="47"/>
      <c r="BG50" s="47"/>
      <c r="BH50" s="47"/>
      <c r="BI50" s="47"/>
      <c r="BJ50" s="47"/>
      <c r="BR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148"/>
      <c r="J51" s="47"/>
      <c r="K51" s="47"/>
      <c r="L51" s="47"/>
      <c r="M51" s="47"/>
      <c r="N51" s="47"/>
      <c r="O51" s="62"/>
      <c r="P51" s="62"/>
      <c r="Q51" s="62"/>
      <c r="R51" s="62"/>
      <c r="S51" s="62"/>
      <c r="T51" s="62"/>
      <c r="U51" s="62"/>
      <c r="V51" s="62"/>
      <c r="W51" s="62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58"/>
      <c r="BD51" s="47"/>
      <c r="BE51" s="47"/>
      <c r="BF51" s="47"/>
      <c r="BG51" s="47"/>
      <c r="BH51" s="47"/>
      <c r="BI51" s="47"/>
      <c r="BJ51" s="47"/>
      <c r="BR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62"/>
      <c r="P52" s="62"/>
      <c r="Q52" s="62"/>
      <c r="R52" s="62"/>
      <c r="S52" s="62"/>
      <c r="T52" s="62"/>
      <c r="U52" s="62"/>
      <c r="V52" s="62"/>
      <c r="W52" s="62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58"/>
      <c r="BD52" s="47"/>
      <c r="BE52" s="47"/>
      <c r="BF52" s="47"/>
      <c r="BG52" s="47"/>
      <c r="BH52" s="47"/>
      <c r="BI52" s="47"/>
      <c r="BJ52" s="47"/>
      <c r="BR52" s="47"/>
    </row>
    <row r="53" ht="15.75" customHeight="1">
      <c r="A53" s="47"/>
      <c r="B53" s="47"/>
      <c r="C53" s="72"/>
      <c r="D53" s="72"/>
      <c r="E53" s="72"/>
      <c r="F53" s="72"/>
      <c r="G53" s="72"/>
      <c r="H53" s="72"/>
      <c r="I53" s="72"/>
      <c r="J53" s="47"/>
      <c r="K53" s="47"/>
      <c r="L53" s="47"/>
      <c r="M53" s="47"/>
      <c r="N53" s="47"/>
      <c r="O53" s="72"/>
      <c r="P53" s="72"/>
      <c r="Q53" s="72"/>
      <c r="R53" s="73"/>
      <c r="S53" s="73"/>
      <c r="T53" s="73"/>
      <c r="U53" s="73"/>
      <c r="V53" s="73"/>
      <c r="W53" s="73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58"/>
      <c r="BD53" s="47"/>
      <c r="BE53" s="47"/>
      <c r="BF53" s="47"/>
      <c r="BG53" s="47"/>
      <c r="BH53" s="47"/>
      <c r="BI53" s="47"/>
      <c r="BJ53" s="47"/>
      <c r="BR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58"/>
      <c r="BD54" s="47"/>
      <c r="BE54" s="47"/>
      <c r="BF54" s="47"/>
      <c r="BG54" s="47"/>
      <c r="BH54" s="47"/>
      <c r="BI54" s="47"/>
      <c r="BJ54" s="47"/>
      <c r="BR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58"/>
      <c r="BD55" s="47"/>
      <c r="BE55" s="47"/>
      <c r="BF55" s="47"/>
      <c r="BG55" s="47"/>
      <c r="BH55" s="47"/>
      <c r="BI55" s="47"/>
      <c r="BJ55" s="47"/>
      <c r="BR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58"/>
      <c r="BD56" s="47"/>
      <c r="BE56" s="47"/>
      <c r="BF56" s="47"/>
      <c r="BG56" s="47"/>
      <c r="BH56" s="47"/>
      <c r="BI56" s="47"/>
      <c r="BJ56" s="47"/>
      <c r="BR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58"/>
      <c r="BD57" s="47"/>
      <c r="BE57" s="47"/>
      <c r="BF57" s="47"/>
      <c r="BG57" s="47"/>
      <c r="BH57" s="47"/>
      <c r="BI57" s="47"/>
      <c r="BJ57" s="47"/>
      <c r="BR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58"/>
      <c r="BD58" s="47"/>
      <c r="BE58" s="47"/>
      <c r="BF58" s="47"/>
      <c r="BG58" s="47"/>
      <c r="BH58" s="47"/>
      <c r="BI58" s="47"/>
      <c r="BJ58" s="47"/>
      <c r="BR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58"/>
      <c r="BD59" s="47"/>
      <c r="BE59" s="47"/>
      <c r="BF59" s="47"/>
      <c r="BG59" s="47"/>
      <c r="BH59" s="47"/>
      <c r="BI59" s="47"/>
      <c r="BJ59" s="47"/>
      <c r="BR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58"/>
      <c r="BD60" s="47"/>
      <c r="BE60" s="47"/>
      <c r="BF60" s="47"/>
      <c r="BG60" s="47"/>
      <c r="BH60" s="47"/>
      <c r="BI60" s="47"/>
      <c r="BJ60" s="47"/>
      <c r="BR60" s="47"/>
    </row>
    <row r="61" ht="15.75" customHeight="1">
      <c r="A61" s="74"/>
      <c r="B61" s="74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58"/>
      <c r="BD61" s="47"/>
      <c r="BE61" s="47"/>
      <c r="BF61" s="47"/>
      <c r="BG61" s="47"/>
      <c r="BH61" s="47"/>
      <c r="BI61" s="47"/>
      <c r="BJ61" s="47"/>
      <c r="BR61" s="47"/>
    </row>
    <row r="62" ht="15.75" customHeight="1">
      <c r="A62" s="74"/>
      <c r="B62" s="74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58"/>
      <c r="BD62" s="47"/>
      <c r="BE62" s="47"/>
      <c r="BF62" s="47"/>
      <c r="BG62" s="47"/>
      <c r="BH62" s="47"/>
      <c r="BI62" s="47"/>
      <c r="BJ62" s="47"/>
      <c r="BR62" s="47"/>
    </row>
    <row r="63" ht="15.75" customHeight="1">
      <c r="A63" s="74"/>
      <c r="B63" s="74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58"/>
      <c r="BD63" s="47"/>
      <c r="BE63" s="47"/>
      <c r="BF63" s="47"/>
      <c r="BG63" s="47"/>
      <c r="BH63" s="47"/>
      <c r="BI63" s="47"/>
      <c r="BJ63" s="47"/>
      <c r="BR63" s="47"/>
    </row>
    <row r="64" ht="15.75" customHeight="1">
      <c r="A64" s="74"/>
      <c r="B64" s="74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58"/>
      <c r="BD64" s="47"/>
      <c r="BE64" s="47"/>
      <c r="BF64" s="47"/>
      <c r="BG64" s="47"/>
      <c r="BH64" s="47"/>
      <c r="BI64" s="47"/>
      <c r="BJ64" s="47"/>
      <c r="BR64" s="47"/>
    </row>
    <row r="65" ht="15.75" customHeight="1">
      <c r="A65" s="74"/>
      <c r="B65" s="74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58"/>
      <c r="BD65" s="47"/>
      <c r="BE65" s="47"/>
      <c r="BF65" s="47"/>
      <c r="BG65" s="47"/>
      <c r="BH65" s="47"/>
      <c r="BI65" s="47"/>
      <c r="BJ65" s="47"/>
      <c r="BR65" s="47"/>
    </row>
    <row r="66" ht="15.75" customHeight="1">
      <c r="A66" s="75"/>
      <c r="B66" s="75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58"/>
      <c r="BD66" s="47"/>
      <c r="BE66" s="47"/>
      <c r="BF66" s="47"/>
      <c r="BG66" s="47"/>
      <c r="BH66" s="47"/>
      <c r="BI66" s="47"/>
      <c r="BJ66" s="47"/>
      <c r="BR66" s="47"/>
    </row>
    <row r="67" ht="15.75" customHeight="1">
      <c r="A67" s="74"/>
      <c r="B67" s="74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58"/>
      <c r="BD67" s="47"/>
      <c r="BE67" s="47"/>
      <c r="BF67" s="47"/>
      <c r="BG67" s="47"/>
      <c r="BH67" s="47"/>
      <c r="BI67" s="47"/>
      <c r="BJ67" s="47"/>
      <c r="BR67" s="47"/>
    </row>
    <row r="68" ht="15.75" customHeight="1">
      <c r="A68" s="74"/>
      <c r="B68" s="74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58"/>
      <c r="BD68" s="47"/>
      <c r="BE68" s="47"/>
      <c r="BF68" s="47"/>
      <c r="BG68" s="47"/>
      <c r="BH68" s="47"/>
      <c r="BI68" s="47"/>
      <c r="BJ68" s="47"/>
      <c r="BR68" s="47"/>
    </row>
    <row r="69" ht="15.75" customHeight="1">
      <c r="A69" s="66"/>
      <c r="B69" s="66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58"/>
      <c r="BD69" s="47"/>
      <c r="BE69" s="47"/>
      <c r="BF69" s="47"/>
      <c r="BG69" s="47"/>
      <c r="BH69" s="47"/>
      <c r="BI69" s="47"/>
      <c r="BJ69" s="47"/>
      <c r="BR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58"/>
      <c r="BD70" s="47"/>
      <c r="BE70" s="47"/>
      <c r="BF70" s="47"/>
      <c r="BG70" s="47"/>
      <c r="BH70" s="47"/>
      <c r="BI70" s="47"/>
      <c r="BJ70" s="47"/>
      <c r="BR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58"/>
      <c r="BD71" s="47"/>
      <c r="BE71" s="47"/>
      <c r="BF71" s="47"/>
      <c r="BG71" s="47"/>
      <c r="BH71" s="47"/>
      <c r="BI71" s="47"/>
      <c r="BJ71" s="47"/>
      <c r="BR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58"/>
      <c r="BD72" s="47"/>
      <c r="BE72" s="47"/>
      <c r="BF72" s="47"/>
      <c r="BG72" s="47"/>
      <c r="BH72" s="47"/>
      <c r="BI72" s="47"/>
      <c r="BJ72" s="47"/>
      <c r="BR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58"/>
      <c r="BD73" s="47"/>
      <c r="BE73" s="47"/>
      <c r="BF73" s="47"/>
      <c r="BG73" s="47"/>
      <c r="BH73" s="47"/>
      <c r="BI73" s="47"/>
      <c r="BJ73" s="47"/>
      <c r="BR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58"/>
      <c r="BD74" s="47"/>
      <c r="BE74" s="47"/>
      <c r="BF74" s="47"/>
      <c r="BG74" s="47"/>
      <c r="BH74" s="47"/>
      <c r="BI74" s="47"/>
      <c r="BJ74" s="47"/>
      <c r="BR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58"/>
      <c r="BD75" s="47"/>
      <c r="BE75" s="47"/>
      <c r="BF75" s="47"/>
      <c r="BG75" s="47"/>
      <c r="BH75" s="47"/>
      <c r="BI75" s="47"/>
      <c r="BJ75" s="47"/>
      <c r="BR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58"/>
      <c r="BD76" s="47"/>
      <c r="BE76" s="47"/>
      <c r="BF76" s="47"/>
      <c r="BG76" s="47"/>
      <c r="BH76" s="47"/>
      <c r="BI76" s="47"/>
      <c r="BJ76" s="47"/>
      <c r="BR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58"/>
      <c r="BD77" s="47"/>
      <c r="BE77" s="47"/>
      <c r="BF77" s="47"/>
      <c r="BG77" s="47"/>
      <c r="BH77" s="47"/>
      <c r="BI77" s="47"/>
      <c r="BJ77" s="47"/>
      <c r="BR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58"/>
      <c r="BD78" s="47"/>
      <c r="BE78" s="47"/>
      <c r="BF78" s="47"/>
      <c r="BG78" s="47"/>
      <c r="BH78" s="47"/>
      <c r="BI78" s="47"/>
      <c r="BJ78" s="47"/>
      <c r="BR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58"/>
      <c r="BD79" s="47"/>
      <c r="BE79" s="47"/>
      <c r="BF79" s="47"/>
      <c r="BG79" s="47"/>
      <c r="BH79" s="47"/>
      <c r="BI79" s="47"/>
      <c r="BJ79" s="47"/>
      <c r="BR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58"/>
      <c r="BD80" s="47"/>
      <c r="BE80" s="47"/>
      <c r="BF80" s="47"/>
      <c r="BG80" s="47"/>
      <c r="BH80" s="47"/>
      <c r="BI80" s="47"/>
      <c r="BJ80" s="47"/>
      <c r="BR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58"/>
      <c r="BD81" s="47"/>
      <c r="BE81" s="47"/>
      <c r="BF81" s="47"/>
      <c r="BG81" s="47"/>
      <c r="BH81" s="47"/>
      <c r="BI81" s="47"/>
      <c r="BJ81" s="47"/>
      <c r="BR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58"/>
      <c r="BD82" s="47"/>
      <c r="BE82" s="47"/>
      <c r="BF82" s="47"/>
      <c r="BG82" s="47"/>
      <c r="BH82" s="47"/>
      <c r="BI82" s="47"/>
      <c r="BJ82" s="47"/>
      <c r="BR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58"/>
      <c r="BD83" s="47"/>
      <c r="BE83" s="47"/>
      <c r="BF83" s="47"/>
      <c r="BG83" s="47"/>
      <c r="BH83" s="47"/>
      <c r="BI83" s="47"/>
      <c r="BJ83" s="47"/>
      <c r="BR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58"/>
      <c r="BD84" s="47"/>
      <c r="BE84" s="47"/>
      <c r="BF84" s="47"/>
      <c r="BG84" s="47"/>
      <c r="BH84" s="47"/>
      <c r="BI84" s="47"/>
      <c r="BJ84" s="47"/>
      <c r="BR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58"/>
      <c r="BD85" s="47"/>
      <c r="BE85" s="47"/>
      <c r="BF85" s="47"/>
      <c r="BG85" s="47"/>
      <c r="BH85" s="47"/>
      <c r="BI85" s="47"/>
      <c r="BJ85" s="47"/>
      <c r="BR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58"/>
      <c r="BD86" s="47"/>
      <c r="BE86" s="47"/>
      <c r="BF86" s="47"/>
      <c r="BG86" s="47"/>
      <c r="BH86" s="47"/>
      <c r="BI86" s="47"/>
      <c r="BJ86" s="47"/>
      <c r="BR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58"/>
      <c r="BD87" s="47"/>
      <c r="BE87" s="47"/>
      <c r="BF87" s="47"/>
      <c r="BG87" s="47"/>
      <c r="BH87" s="47"/>
      <c r="BI87" s="47"/>
      <c r="BJ87" s="47"/>
      <c r="BR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58"/>
      <c r="BD88" s="47"/>
      <c r="BE88" s="47"/>
      <c r="BF88" s="47"/>
      <c r="BG88" s="47"/>
      <c r="BH88" s="47"/>
      <c r="BI88" s="47"/>
      <c r="BJ88" s="47"/>
      <c r="BR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58"/>
      <c r="BD89" s="47"/>
      <c r="BE89" s="47"/>
      <c r="BF89" s="47"/>
      <c r="BG89" s="47"/>
      <c r="BH89" s="47"/>
      <c r="BI89" s="47"/>
      <c r="BJ89" s="47"/>
      <c r="BR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58"/>
      <c r="BD90" s="47"/>
      <c r="BE90" s="47"/>
      <c r="BF90" s="47"/>
      <c r="BG90" s="47"/>
      <c r="BH90" s="47"/>
      <c r="BI90" s="47"/>
      <c r="BJ90" s="47"/>
      <c r="BR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58"/>
      <c r="BD91" s="47"/>
      <c r="BE91" s="47"/>
      <c r="BF91" s="47"/>
      <c r="BG91" s="47"/>
      <c r="BH91" s="47"/>
      <c r="BI91" s="47"/>
      <c r="BJ91" s="47"/>
      <c r="BR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58"/>
      <c r="BD92" s="47"/>
      <c r="BE92" s="47"/>
      <c r="BF92" s="47"/>
      <c r="BG92" s="47"/>
      <c r="BH92" s="47"/>
      <c r="BI92" s="47"/>
      <c r="BJ92" s="47"/>
      <c r="BR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58"/>
      <c r="BD93" s="47"/>
      <c r="BE93" s="47"/>
      <c r="BF93" s="47"/>
      <c r="BG93" s="47"/>
      <c r="BH93" s="47"/>
      <c r="BI93" s="47"/>
      <c r="BJ93" s="47"/>
      <c r="BR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58"/>
      <c r="BD94" s="47"/>
      <c r="BE94" s="47"/>
      <c r="BF94" s="47"/>
      <c r="BG94" s="47"/>
      <c r="BH94" s="47"/>
      <c r="BI94" s="47"/>
      <c r="BJ94" s="47"/>
      <c r="BR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58"/>
      <c r="BD95" s="47"/>
      <c r="BE95" s="47"/>
      <c r="BF95" s="47"/>
      <c r="BG95" s="47"/>
      <c r="BH95" s="47"/>
      <c r="BI95" s="47"/>
      <c r="BJ95" s="47"/>
      <c r="BR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58"/>
      <c r="BD96" s="47"/>
      <c r="BE96" s="47"/>
      <c r="BF96" s="47"/>
      <c r="BG96" s="47"/>
      <c r="BH96" s="47"/>
      <c r="BI96" s="47"/>
      <c r="BJ96" s="47"/>
      <c r="BR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58"/>
      <c r="BD97" s="47"/>
      <c r="BE97" s="47"/>
      <c r="BF97" s="47"/>
      <c r="BG97" s="47"/>
      <c r="BH97" s="47"/>
      <c r="BI97" s="47"/>
      <c r="BJ97" s="47"/>
      <c r="BR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58"/>
      <c r="BD98" s="47"/>
      <c r="BE98" s="47"/>
      <c r="BF98" s="47"/>
      <c r="BG98" s="47"/>
      <c r="BH98" s="47"/>
      <c r="BI98" s="47"/>
      <c r="BJ98" s="47"/>
      <c r="BR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58"/>
      <c r="BD99" s="47"/>
      <c r="BE99" s="47"/>
      <c r="BF99" s="47"/>
      <c r="BG99" s="47"/>
      <c r="BH99" s="47"/>
      <c r="BI99" s="47"/>
      <c r="BJ99" s="47"/>
      <c r="BR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58"/>
      <c r="BD100" s="47"/>
      <c r="BE100" s="47"/>
      <c r="BF100" s="47"/>
      <c r="BG100" s="47"/>
      <c r="BH100" s="47"/>
      <c r="BI100" s="47"/>
      <c r="BJ100" s="47"/>
      <c r="BR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58"/>
      <c r="BD101" s="47"/>
      <c r="BE101" s="47"/>
      <c r="BF101" s="47"/>
      <c r="BG101" s="47"/>
      <c r="BH101" s="47"/>
      <c r="BI101" s="47"/>
      <c r="BJ101" s="47"/>
      <c r="BR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58"/>
      <c r="BD102" s="47"/>
      <c r="BE102" s="47"/>
      <c r="BF102" s="47"/>
      <c r="BG102" s="47"/>
      <c r="BH102" s="47"/>
      <c r="BI102" s="47"/>
      <c r="BJ102" s="47"/>
      <c r="BR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58"/>
      <c r="BD103" s="47"/>
      <c r="BE103" s="47"/>
      <c r="BF103" s="47"/>
      <c r="BG103" s="47"/>
      <c r="BH103" s="47"/>
      <c r="BI103" s="47"/>
      <c r="BJ103" s="47"/>
      <c r="BR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58"/>
      <c r="BD104" s="47"/>
      <c r="BE104" s="47"/>
      <c r="BF104" s="47"/>
      <c r="BG104" s="47"/>
      <c r="BH104" s="47"/>
      <c r="BI104" s="47"/>
      <c r="BJ104" s="47"/>
      <c r="BR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58"/>
      <c r="BD105" s="47"/>
      <c r="BE105" s="47"/>
      <c r="BF105" s="47"/>
      <c r="BG105" s="47"/>
      <c r="BH105" s="47"/>
      <c r="BI105" s="47"/>
      <c r="BJ105" s="47"/>
      <c r="BR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58"/>
      <c r="BD106" s="47"/>
      <c r="BE106" s="47"/>
      <c r="BF106" s="47"/>
      <c r="BG106" s="47"/>
      <c r="BH106" s="47"/>
      <c r="BI106" s="47"/>
      <c r="BJ106" s="47"/>
      <c r="BR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58"/>
      <c r="BD107" s="47"/>
      <c r="BE107" s="47"/>
      <c r="BF107" s="47"/>
      <c r="BG107" s="47"/>
      <c r="BH107" s="47"/>
      <c r="BI107" s="47"/>
      <c r="BJ107" s="47"/>
      <c r="BR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58"/>
      <c r="BD108" s="47"/>
      <c r="BE108" s="47"/>
      <c r="BF108" s="47"/>
      <c r="BG108" s="47"/>
      <c r="BH108" s="47"/>
      <c r="BI108" s="47"/>
      <c r="BJ108" s="47"/>
      <c r="BR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58"/>
      <c r="BD109" s="47"/>
      <c r="BE109" s="47"/>
      <c r="BF109" s="47"/>
      <c r="BG109" s="47"/>
      <c r="BH109" s="47"/>
      <c r="BI109" s="47"/>
      <c r="BJ109" s="47"/>
      <c r="BR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58"/>
      <c r="BD110" s="47"/>
      <c r="BE110" s="47"/>
      <c r="BF110" s="47"/>
      <c r="BG110" s="47"/>
      <c r="BH110" s="47"/>
      <c r="BI110" s="47"/>
      <c r="BJ110" s="47"/>
      <c r="BR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58"/>
      <c r="BD111" s="47"/>
      <c r="BE111" s="47"/>
      <c r="BF111" s="47"/>
      <c r="BG111" s="47"/>
      <c r="BH111" s="47"/>
      <c r="BI111" s="47"/>
      <c r="BJ111" s="47"/>
      <c r="BR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58"/>
      <c r="BD112" s="47"/>
      <c r="BE112" s="47"/>
      <c r="BF112" s="47"/>
      <c r="BG112" s="47"/>
      <c r="BH112" s="47"/>
      <c r="BI112" s="47"/>
      <c r="BJ112" s="47"/>
      <c r="BR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58"/>
      <c r="BD113" s="47"/>
      <c r="BE113" s="47"/>
      <c r="BF113" s="47"/>
      <c r="BG113" s="47"/>
      <c r="BH113" s="47"/>
      <c r="BI113" s="47"/>
      <c r="BJ113" s="47"/>
      <c r="BR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58"/>
      <c r="BD114" s="47"/>
      <c r="BE114" s="47"/>
      <c r="BF114" s="47"/>
      <c r="BG114" s="47"/>
      <c r="BH114" s="47"/>
      <c r="BI114" s="47"/>
      <c r="BJ114" s="47"/>
      <c r="BR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58"/>
      <c r="BD115" s="47"/>
      <c r="BE115" s="47"/>
      <c r="BF115" s="47"/>
      <c r="BG115" s="47"/>
      <c r="BH115" s="47"/>
      <c r="BI115" s="47"/>
      <c r="BJ115" s="47"/>
      <c r="BR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58"/>
      <c r="BD116" s="47"/>
      <c r="BE116" s="47"/>
      <c r="BF116" s="47"/>
      <c r="BG116" s="47"/>
      <c r="BH116" s="47"/>
      <c r="BI116" s="47"/>
      <c r="BJ116" s="47"/>
      <c r="BR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58"/>
      <c r="BD117" s="47"/>
      <c r="BE117" s="47"/>
      <c r="BF117" s="47"/>
      <c r="BG117" s="47"/>
      <c r="BH117" s="47"/>
      <c r="BI117" s="47"/>
      <c r="BJ117" s="47"/>
      <c r="BR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58"/>
      <c r="BD118" s="47"/>
      <c r="BE118" s="47"/>
      <c r="BF118" s="47"/>
      <c r="BG118" s="47"/>
      <c r="BH118" s="47"/>
      <c r="BI118" s="47"/>
      <c r="BJ118" s="47"/>
      <c r="BR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58"/>
      <c r="BD119" s="47"/>
      <c r="BE119" s="47"/>
      <c r="BF119" s="47"/>
      <c r="BG119" s="47"/>
      <c r="BH119" s="47"/>
      <c r="BI119" s="47"/>
      <c r="BJ119" s="47"/>
      <c r="BR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58"/>
      <c r="BD120" s="47"/>
      <c r="BE120" s="47"/>
      <c r="BF120" s="47"/>
      <c r="BG120" s="47"/>
      <c r="BH120" s="47"/>
      <c r="BI120" s="47"/>
      <c r="BJ120" s="47"/>
      <c r="BR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58"/>
      <c r="BD121" s="47"/>
      <c r="BE121" s="47"/>
      <c r="BF121" s="47"/>
      <c r="BG121" s="47"/>
      <c r="BH121" s="47"/>
      <c r="BI121" s="47"/>
      <c r="BJ121" s="47"/>
      <c r="BR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58"/>
      <c r="BD122" s="47"/>
      <c r="BE122" s="47"/>
      <c r="BF122" s="47"/>
      <c r="BG122" s="47"/>
      <c r="BH122" s="47"/>
      <c r="BI122" s="47"/>
      <c r="BJ122" s="47"/>
      <c r="BR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58"/>
      <c r="BD123" s="47"/>
      <c r="BE123" s="47"/>
      <c r="BF123" s="47"/>
      <c r="BG123" s="47"/>
      <c r="BH123" s="47"/>
      <c r="BI123" s="47"/>
      <c r="BJ123" s="47"/>
      <c r="BR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58"/>
      <c r="BD124" s="47"/>
      <c r="BE124" s="47"/>
      <c r="BF124" s="47"/>
      <c r="BG124" s="47"/>
      <c r="BH124" s="47"/>
      <c r="BI124" s="47"/>
      <c r="BJ124" s="47"/>
      <c r="BR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58"/>
      <c r="BD125" s="47"/>
      <c r="BE125" s="47"/>
      <c r="BF125" s="47"/>
      <c r="BG125" s="47"/>
      <c r="BH125" s="47"/>
      <c r="BI125" s="47"/>
      <c r="BJ125" s="47"/>
      <c r="BR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58"/>
      <c r="BD126" s="47"/>
      <c r="BE126" s="47"/>
      <c r="BF126" s="47"/>
      <c r="BG126" s="47"/>
      <c r="BH126" s="47"/>
      <c r="BI126" s="47"/>
      <c r="BJ126" s="47"/>
      <c r="BR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58"/>
      <c r="BD127" s="47"/>
      <c r="BE127" s="47"/>
      <c r="BF127" s="47"/>
      <c r="BG127" s="47"/>
      <c r="BH127" s="47"/>
      <c r="BI127" s="47"/>
      <c r="BJ127" s="47"/>
      <c r="BR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58"/>
      <c r="BD128" s="47"/>
      <c r="BE128" s="47"/>
      <c r="BF128" s="47"/>
      <c r="BG128" s="47"/>
      <c r="BH128" s="47"/>
      <c r="BI128" s="47"/>
      <c r="BJ128" s="47"/>
      <c r="BR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58"/>
      <c r="BD129" s="47"/>
      <c r="BE129" s="47"/>
      <c r="BF129" s="47"/>
      <c r="BG129" s="47"/>
      <c r="BH129" s="47"/>
      <c r="BI129" s="47"/>
      <c r="BJ129" s="47"/>
      <c r="BR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58"/>
      <c r="BD130" s="47"/>
      <c r="BE130" s="47"/>
      <c r="BF130" s="47"/>
      <c r="BG130" s="47"/>
      <c r="BH130" s="47"/>
      <c r="BI130" s="47"/>
      <c r="BJ130" s="47"/>
      <c r="BR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58"/>
      <c r="BD131" s="47"/>
      <c r="BE131" s="47"/>
      <c r="BF131" s="47"/>
      <c r="BG131" s="47"/>
      <c r="BH131" s="47"/>
      <c r="BI131" s="47"/>
      <c r="BJ131" s="47"/>
      <c r="BR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58"/>
      <c r="BD132" s="47"/>
      <c r="BE132" s="47"/>
      <c r="BF132" s="47"/>
      <c r="BG132" s="47"/>
      <c r="BH132" s="47"/>
      <c r="BI132" s="47"/>
      <c r="BJ132" s="47"/>
      <c r="BR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58"/>
      <c r="BD133" s="47"/>
      <c r="BE133" s="47"/>
      <c r="BF133" s="47"/>
      <c r="BG133" s="47"/>
      <c r="BH133" s="47"/>
      <c r="BI133" s="47"/>
      <c r="BJ133" s="47"/>
      <c r="BR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58"/>
      <c r="BD134" s="47"/>
      <c r="BE134" s="47"/>
      <c r="BF134" s="47"/>
      <c r="BG134" s="47"/>
      <c r="BH134" s="47"/>
      <c r="BI134" s="47"/>
      <c r="BJ134" s="47"/>
      <c r="BR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58"/>
      <c r="BD135" s="47"/>
      <c r="BE135" s="47"/>
      <c r="BF135" s="47"/>
      <c r="BG135" s="47"/>
      <c r="BH135" s="47"/>
      <c r="BI135" s="47"/>
      <c r="BJ135" s="47"/>
      <c r="BR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58"/>
      <c r="BD136" s="47"/>
      <c r="BE136" s="47"/>
      <c r="BF136" s="47"/>
      <c r="BG136" s="47"/>
      <c r="BH136" s="47"/>
      <c r="BI136" s="47"/>
      <c r="BJ136" s="47"/>
      <c r="BR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58"/>
      <c r="BD137" s="47"/>
      <c r="BE137" s="47"/>
      <c r="BF137" s="47"/>
      <c r="BG137" s="47"/>
      <c r="BH137" s="47"/>
      <c r="BI137" s="47"/>
      <c r="BJ137" s="47"/>
      <c r="BR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58"/>
      <c r="BD138" s="47"/>
      <c r="BE138" s="47"/>
      <c r="BF138" s="47"/>
      <c r="BG138" s="47"/>
      <c r="BH138" s="47"/>
      <c r="BI138" s="47"/>
      <c r="BJ138" s="47"/>
      <c r="BR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58"/>
      <c r="BD139" s="47"/>
      <c r="BE139" s="47"/>
      <c r="BF139" s="47"/>
      <c r="BG139" s="47"/>
      <c r="BH139" s="47"/>
      <c r="BI139" s="47"/>
      <c r="BJ139" s="47"/>
      <c r="BR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58"/>
      <c r="BD140" s="47"/>
      <c r="BE140" s="47"/>
      <c r="BF140" s="47"/>
      <c r="BG140" s="47"/>
      <c r="BH140" s="47"/>
      <c r="BI140" s="47"/>
      <c r="BJ140" s="47"/>
      <c r="BR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58"/>
      <c r="BD141" s="47"/>
      <c r="BE141" s="47"/>
      <c r="BF141" s="47"/>
      <c r="BG141" s="47"/>
      <c r="BH141" s="47"/>
      <c r="BI141" s="47"/>
      <c r="BJ141" s="47"/>
      <c r="BR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58"/>
      <c r="BD142" s="47"/>
      <c r="BE142" s="47"/>
      <c r="BF142" s="47"/>
      <c r="BG142" s="47"/>
      <c r="BH142" s="47"/>
      <c r="BI142" s="47"/>
      <c r="BJ142" s="47"/>
      <c r="BR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58"/>
      <c r="BD143" s="47"/>
      <c r="BE143" s="47"/>
      <c r="BF143" s="47"/>
      <c r="BG143" s="47"/>
      <c r="BH143" s="47"/>
      <c r="BI143" s="47"/>
      <c r="BJ143" s="47"/>
      <c r="BR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58"/>
      <c r="BD144" s="47"/>
      <c r="BE144" s="47"/>
      <c r="BF144" s="47"/>
      <c r="BG144" s="47"/>
      <c r="BH144" s="47"/>
      <c r="BI144" s="47"/>
      <c r="BJ144" s="47"/>
      <c r="BR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58"/>
      <c r="BD145" s="47"/>
      <c r="BE145" s="47"/>
      <c r="BF145" s="47"/>
      <c r="BG145" s="47"/>
      <c r="BH145" s="47"/>
      <c r="BI145" s="47"/>
      <c r="BJ145" s="47"/>
      <c r="BR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58"/>
      <c r="BD146" s="47"/>
      <c r="BE146" s="47"/>
      <c r="BF146" s="47"/>
      <c r="BG146" s="47"/>
      <c r="BH146" s="47"/>
      <c r="BI146" s="47"/>
      <c r="BJ146" s="47"/>
      <c r="BR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58"/>
      <c r="BD147" s="47"/>
      <c r="BE147" s="47"/>
      <c r="BF147" s="47"/>
      <c r="BG147" s="47"/>
      <c r="BH147" s="47"/>
      <c r="BI147" s="47"/>
      <c r="BJ147" s="47"/>
      <c r="BR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58"/>
      <c r="BD148" s="47"/>
      <c r="BE148" s="47"/>
      <c r="BF148" s="47"/>
      <c r="BG148" s="47"/>
      <c r="BH148" s="47"/>
      <c r="BI148" s="47"/>
      <c r="BJ148" s="47"/>
      <c r="BR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58"/>
      <c r="BD149" s="47"/>
      <c r="BE149" s="47"/>
      <c r="BF149" s="47"/>
      <c r="BG149" s="47"/>
      <c r="BH149" s="47"/>
      <c r="BI149" s="47"/>
      <c r="BJ149" s="47"/>
      <c r="BR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58"/>
      <c r="BD150" s="47"/>
      <c r="BE150" s="47"/>
      <c r="BF150" s="47"/>
      <c r="BG150" s="47"/>
      <c r="BH150" s="47"/>
      <c r="BI150" s="47"/>
      <c r="BJ150" s="47"/>
      <c r="BR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58"/>
      <c r="BD151" s="47"/>
      <c r="BE151" s="47"/>
      <c r="BF151" s="47"/>
      <c r="BG151" s="47"/>
      <c r="BH151" s="47"/>
      <c r="BI151" s="47"/>
      <c r="BJ151" s="47"/>
      <c r="BR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58"/>
      <c r="BD152" s="47"/>
      <c r="BE152" s="47"/>
      <c r="BF152" s="47"/>
      <c r="BG152" s="47"/>
      <c r="BH152" s="47"/>
      <c r="BI152" s="47"/>
      <c r="BJ152" s="47"/>
      <c r="BR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58"/>
      <c r="BD153" s="47"/>
      <c r="BE153" s="47"/>
      <c r="BF153" s="47"/>
      <c r="BG153" s="47"/>
      <c r="BH153" s="47"/>
      <c r="BI153" s="47"/>
      <c r="BJ153" s="47"/>
      <c r="BR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58"/>
      <c r="BD154" s="47"/>
      <c r="BE154" s="47"/>
      <c r="BF154" s="47"/>
      <c r="BG154" s="47"/>
      <c r="BH154" s="47"/>
      <c r="BI154" s="47"/>
      <c r="BJ154" s="47"/>
      <c r="BR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58"/>
      <c r="BD155" s="47"/>
      <c r="BE155" s="47"/>
      <c r="BF155" s="47"/>
      <c r="BG155" s="47"/>
      <c r="BH155" s="47"/>
      <c r="BI155" s="47"/>
      <c r="BJ155" s="47"/>
      <c r="BR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58"/>
      <c r="BD156" s="47"/>
      <c r="BE156" s="47"/>
      <c r="BF156" s="47"/>
      <c r="BG156" s="47"/>
      <c r="BH156" s="47"/>
      <c r="BI156" s="47"/>
      <c r="BJ156" s="47"/>
      <c r="BR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58"/>
      <c r="BD157" s="47"/>
      <c r="BE157" s="47"/>
      <c r="BF157" s="47"/>
      <c r="BG157" s="47"/>
      <c r="BH157" s="47"/>
      <c r="BI157" s="47"/>
      <c r="BJ157" s="47"/>
      <c r="BR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58"/>
      <c r="BD158" s="47"/>
      <c r="BE158" s="47"/>
      <c r="BF158" s="47"/>
      <c r="BG158" s="47"/>
      <c r="BH158" s="47"/>
      <c r="BI158" s="47"/>
      <c r="BJ158" s="47"/>
      <c r="BR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58"/>
      <c r="BD159" s="47"/>
      <c r="BE159" s="47"/>
      <c r="BF159" s="47"/>
      <c r="BG159" s="47"/>
      <c r="BH159" s="47"/>
      <c r="BI159" s="47"/>
      <c r="BJ159" s="47"/>
      <c r="BR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58"/>
      <c r="BD160" s="47"/>
      <c r="BE160" s="47"/>
      <c r="BF160" s="47"/>
      <c r="BG160" s="47"/>
      <c r="BH160" s="47"/>
      <c r="BI160" s="47"/>
      <c r="BJ160" s="47"/>
      <c r="BR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58"/>
      <c r="BD161" s="47"/>
      <c r="BE161" s="47"/>
      <c r="BF161" s="47"/>
      <c r="BG161" s="47"/>
      <c r="BH161" s="47"/>
      <c r="BI161" s="47"/>
      <c r="BJ161" s="47"/>
      <c r="BR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58"/>
      <c r="BD162" s="47"/>
      <c r="BE162" s="47"/>
      <c r="BF162" s="47"/>
      <c r="BG162" s="47"/>
      <c r="BH162" s="47"/>
      <c r="BI162" s="47"/>
      <c r="BJ162" s="47"/>
      <c r="BR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58"/>
      <c r="BD163" s="47"/>
      <c r="BE163" s="47"/>
      <c r="BF163" s="47"/>
      <c r="BG163" s="47"/>
      <c r="BH163" s="47"/>
      <c r="BI163" s="47"/>
      <c r="BJ163" s="47"/>
      <c r="BR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58"/>
      <c r="BD164" s="47"/>
      <c r="BE164" s="47"/>
      <c r="BF164" s="47"/>
      <c r="BG164" s="47"/>
      <c r="BH164" s="47"/>
      <c r="BI164" s="47"/>
      <c r="BJ164" s="47"/>
      <c r="BR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58"/>
      <c r="BD165" s="47"/>
      <c r="BE165" s="47"/>
      <c r="BF165" s="47"/>
      <c r="BG165" s="47"/>
      <c r="BH165" s="47"/>
      <c r="BI165" s="47"/>
      <c r="BJ165" s="47"/>
      <c r="BR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58"/>
      <c r="BD166" s="47"/>
      <c r="BE166" s="47"/>
      <c r="BF166" s="47"/>
      <c r="BG166" s="47"/>
      <c r="BH166" s="47"/>
      <c r="BI166" s="47"/>
      <c r="BJ166" s="47"/>
      <c r="BR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58"/>
      <c r="BD167" s="47"/>
      <c r="BE167" s="47"/>
      <c r="BF167" s="47"/>
      <c r="BG167" s="47"/>
      <c r="BH167" s="47"/>
      <c r="BI167" s="47"/>
      <c r="BJ167" s="47"/>
      <c r="BR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58"/>
      <c r="BD168" s="47"/>
      <c r="BE168" s="47"/>
      <c r="BF168" s="47"/>
      <c r="BG168" s="47"/>
      <c r="BH168" s="47"/>
      <c r="BI168" s="47"/>
      <c r="BJ168" s="47"/>
      <c r="BR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58"/>
      <c r="BD169" s="47"/>
      <c r="BE169" s="47"/>
      <c r="BF169" s="47"/>
      <c r="BG169" s="47"/>
      <c r="BH169" s="47"/>
      <c r="BI169" s="47"/>
      <c r="BJ169" s="47"/>
      <c r="BR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58"/>
      <c r="BD170" s="47"/>
      <c r="BE170" s="47"/>
      <c r="BF170" s="47"/>
      <c r="BG170" s="47"/>
      <c r="BH170" s="47"/>
      <c r="BI170" s="47"/>
      <c r="BJ170" s="47"/>
      <c r="BR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58"/>
      <c r="BD171" s="47"/>
      <c r="BE171" s="47"/>
      <c r="BF171" s="47"/>
      <c r="BG171" s="47"/>
      <c r="BH171" s="47"/>
      <c r="BI171" s="47"/>
      <c r="BJ171" s="47"/>
      <c r="BR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58"/>
      <c r="BD172" s="47"/>
      <c r="BE172" s="47"/>
      <c r="BF172" s="47"/>
      <c r="BG172" s="47"/>
      <c r="BH172" s="47"/>
      <c r="BI172" s="47"/>
      <c r="BJ172" s="47"/>
      <c r="BR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58"/>
      <c r="BD173" s="47"/>
      <c r="BE173" s="47"/>
      <c r="BF173" s="47"/>
      <c r="BG173" s="47"/>
      <c r="BH173" s="47"/>
      <c r="BI173" s="47"/>
      <c r="BJ173" s="47"/>
      <c r="BR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58"/>
      <c r="BD174" s="47"/>
      <c r="BE174" s="47"/>
      <c r="BF174" s="47"/>
      <c r="BG174" s="47"/>
      <c r="BH174" s="47"/>
      <c r="BI174" s="47"/>
      <c r="BJ174" s="47"/>
      <c r="BR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58"/>
      <c r="BD175" s="47"/>
      <c r="BE175" s="47"/>
      <c r="BF175" s="47"/>
      <c r="BG175" s="47"/>
      <c r="BH175" s="47"/>
      <c r="BI175" s="47"/>
      <c r="BJ175" s="47"/>
      <c r="BR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58"/>
      <c r="BD176" s="47"/>
      <c r="BE176" s="47"/>
      <c r="BF176" s="47"/>
      <c r="BG176" s="47"/>
      <c r="BH176" s="47"/>
      <c r="BI176" s="47"/>
      <c r="BJ176" s="47"/>
      <c r="BR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58"/>
      <c r="BD177" s="47"/>
      <c r="BE177" s="47"/>
      <c r="BF177" s="47"/>
      <c r="BG177" s="47"/>
      <c r="BH177" s="47"/>
      <c r="BI177" s="47"/>
      <c r="BJ177" s="47"/>
      <c r="BR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58"/>
      <c r="BD178" s="47"/>
      <c r="BE178" s="47"/>
      <c r="BF178" s="47"/>
      <c r="BG178" s="47"/>
      <c r="BH178" s="47"/>
      <c r="BI178" s="47"/>
      <c r="BJ178" s="47"/>
      <c r="BR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58"/>
      <c r="BD179" s="47"/>
      <c r="BE179" s="47"/>
      <c r="BF179" s="47"/>
      <c r="BG179" s="47"/>
      <c r="BH179" s="47"/>
      <c r="BI179" s="47"/>
      <c r="BJ179" s="47"/>
      <c r="BR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58"/>
      <c r="BD180" s="47"/>
      <c r="BE180" s="47"/>
      <c r="BF180" s="47"/>
      <c r="BG180" s="47"/>
      <c r="BH180" s="47"/>
      <c r="BI180" s="47"/>
      <c r="BJ180" s="47"/>
      <c r="BR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58"/>
      <c r="BD181" s="47"/>
      <c r="BE181" s="47"/>
      <c r="BF181" s="47"/>
      <c r="BG181" s="47"/>
      <c r="BH181" s="47"/>
      <c r="BI181" s="47"/>
      <c r="BJ181" s="47"/>
      <c r="BR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58"/>
      <c r="BD182" s="47"/>
      <c r="BE182" s="47"/>
      <c r="BF182" s="47"/>
      <c r="BG182" s="47"/>
      <c r="BH182" s="47"/>
      <c r="BI182" s="47"/>
      <c r="BJ182" s="47"/>
      <c r="BR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58"/>
      <c r="BD183" s="47"/>
      <c r="BE183" s="47"/>
      <c r="BF183" s="47"/>
      <c r="BG183" s="47"/>
      <c r="BH183" s="47"/>
      <c r="BI183" s="47"/>
      <c r="BJ183" s="47"/>
      <c r="BR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58"/>
      <c r="BD184" s="47"/>
      <c r="BE184" s="47"/>
      <c r="BF184" s="47"/>
      <c r="BG184" s="47"/>
      <c r="BH184" s="47"/>
      <c r="BI184" s="47"/>
      <c r="BJ184" s="47"/>
      <c r="BR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58"/>
      <c r="BD185" s="47"/>
      <c r="BE185" s="47"/>
      <c r="BF185" s="47"/>
      <c r="BG185" s="47"/>
      <c r="BH185" s="47"/>
      <c r="BI185" s="47"/>
      <c r="BJ185" s="47"/>
      <c r="BR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58"/>
      <c r="BD186" s="47"/>
      <c r="BE186" s="47"/>
      <c r="BF186" s="47"/>
      <c r="BG186" s="47"/>
      <c r="BH186" s="47"/>
      <c r="BI186" s="47"/>
      <c r="BJ186" s="47"/>
      <c r="BR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58"/>
      <c r="BD187" s="47"/>
      <c r="BE187" s="47"/>
      <c r="BF187" s="47"/>
      <c r="BG187" s="47"/>
      <c r="BH187" s="47"/>
      <c r="BI187" s="47"/>
      <c r="BJ187" s="47"/>
      <c r="BR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58"/>
      <c r="BD188" s="47"/>
      <c r="BE188" s="47"/>
      <c r="BF188" s="47"/>
      <c r="BG188" s="47"/>
      <c r="BH188" s="47"/>
      <c r="BI188" s="47"/>
      <c r="BJ188" s="47"/>
      <c r="BR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58"/>
      <c r="BD189" s="47"/>
      <c r="BE189" s="47"/>
      <c r="BF189" s="47"/>
      <c r="BG189" s="47"/>
      <c r="BH189" s="47"/>
      <c r="BI189" s="47"/>
      <c r="BJ189" s="47"/>
      <c r="BR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58"/>
      <c r="BD190" s="47"/>
      <c r="BE190" s="47"/>
      <c r="BF190" s="47"/>
      <c r="BG190" s="47"/>
      <c r="BH190" s="47"/>
      <c r="BI190" s="47"/>
      <c r="BJ190" s="47"/>
      <c r="BR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58"/>
      <c r="BD191" s="47"/>
      <c r="BE191" s="47"/>
      <c r="BF191" s="47"/>
      <c r="BG191" s="47"/>
      <c r="BH191" s="47"/>
      <c r="BI191" s="47"/>
      <c r="BJ191" s="47"/>
      <c r="BR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58"/>
      <c r="BD192" s="47"/>
      <c r="BE192" s="47"/>
      <c r="BF192" s="47"/>
      <c r="BG192" s="47"/>
      <c r="BH192" s="47"/>
      <c r="BI192" s="47"/>
      <c r="BJ192" s="47"/>
      <c r="BR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58"/>
      <c r="BD193" s="47"/>
      <c r="BE193" s="47"/>
      <c r="BF193" s="47"/>
      <c r="BG193" s="47"/>
      <c r="BH193" s="47"/>
      <c r="BI193" s="47"/>
      <c r="BJ193" s="47"/>
      <c r="BR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58"/>
      <c r="BD194" s="47"/>
      <c r="BE194" s="47"/>
      <c r="BF194" s="47"/>
      <c r="BG194" s="47"/>
      <c r="BH194" s="47"/>
      <c r="BI194" s="47"/>
      <c r="BJ194" s="47"/>
      <c r="BR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58"/>
      <c r="BD195" s="47"/>
      <c r="BE195" s="47"/>
      <c r="BF195" s="47"/>
      <c r="BG195" s="47"/>
      <c r="BH195" s="47"/>
      <c r="BI195" s="47"/>
      <c r="BJ195" s="47"/>
      <c r="BR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58"/>
      <c r="BD196" s="47"/>
      <c r="BE196" s="47"/>
      <c r="BF196" s="47"/>
      <c r="BG196" s="47"/>
      <c r="BH196" s="47"/>
      <c r="BI196" s="47"/>
      <c r="BJ196" s="47"/>
      <c r="BR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58"/>
      <c r="BD197" s="47"/>
      <c r="BE197" s="47"/>
      <c r="BF197" s="47"/>
      <c r="BG197" s="47"/>
      <c r="BH197" s="47"/>
      <c r="BI197" s="47"/>
      <c r="BJ197" s="47"/>
      <c r="BR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58"/>
      <c r="BD198" s="47"/>
      <c r="BE198" s="47"/>
      <c r="BF198" s="47"/>
      <c r="BG198" s="47"/>
      <c r="BH198" s="47"/>
      <c r="BI198" s="47"/>
      <c r="BJ198" s="47"/>
      <c r="BR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58"/>
      <c r="BD199" s="47"/>
      <c r="BE199" s="47"/>
      <c r="BF199" s="47"/>
      <c r="BG199" s="47"/>
      <c r="BH199" s="47"/>
      <c r="BI199" s="47"/>
      <c r="BJ199" s="47"/>
      <c r="BR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58"/>
      <c r="BD200" s="47"/>
      <c r="BE200" s="47"/>
      <c r="BF200" s="47"/>
      <c r="BG200" s="47"/>
      <c r="BH200" s="47"/>
      <c r="BI200" s="47"/>
      <c r="BJ200" s="47"/>
      <c r="BR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58"/>
      <c r="BD201" s="47"/>
      <c r="BE201" s="47"/>
      <c r="BF201" s="47"/>
      <c r="BG201" s="47"/>
      <c r="BH201" s="47"/>
      <c r="BI201" s="47"/>
      <c r="BJ201" s="47"/>
      <c r="BR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58"/>
      <c r="BD202" s="47"/>
      <c r="BE202" s="47"/>
      <c r="BF202" s="47"/>
      <c r="BG202" s="47"/>
      <c r="BH202" s="47"/>
      <c r="BI202" s="47"/>
      <c r="BJ202" s="47"/>
      <c r="BR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58"/>
      <c r="BD203" s="47"/>
      <c r="BE203" s="47"/>
      <c r="BF203" s="47"/>
      <c r="BG203" s="47"/>
      <c r="BH203" s="47"/>
      <c r="BI203" s="47"/>
      <c r="BJ203" s="47"/>
      <c r="BR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58"/>
      <c r="BD204" s="47"/>
      <c r="BE204" s="47"/>
      <c r="BF204" s="47"/>
      <c r="BG204" s="47"/>
      <c r="BH204" s="47"/>
      <c r="BI204" s="47"/>
      <c r="BJ204" s="47"/>
      <c r="BR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58"/>
      <c r="BD205" s="47"/>
      <c r="BE205" s="47"/>
      <c r="BF205" s="47"/>
      <c r="BG205" s="47"/>
      <c r="BH205" s="47"/>
      <c r="BI205" s="47"/>
      <c r="BJ205" s="47"/>
      <c r="BR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58"/>
      <c r="BD206" s="47"/>
      <c r="BE206" s="47"/>
      <c r="BF206" s="47"/>
      <c r="BG206" s="47"/>
      <c r="BH206" s="47"/>
      <c r="BI206" s="47"/>
      <c r="BJ206" s="47"/>
      <c r="BR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58"/>
      <c r="BD207" s="47"/>
      <c r="BE207" s="47"/>
      <c r="BF207" s="47"/>
      <c r="BG207" s="47"/>
      <c r="BH207" s="47"/>
      <c r="BI207" s="47"/>
      <c r="BJ207" s="47"/>
      <c r="BR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58"/>
      <c r="BD208" s="47"/>
      <c r="BE208" s="47"/>
      <c r="BF208" s="47"/>
      <c r="BG208" s="47"/>
      <c r="BH208" s="47"/>
      <c r="BI208" s="47"/>
      <c r="BJ208" s="47"/>
      <c r="BR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58"/>
      <c r="BD209" s="47"/>
      <c r="BE209" s="47"/>
      <c r="BF209" s="47"/>
      <c r="BG209" s="47"/>
      <c r="BH209" s="47"/>
      <c r="BI209" s="47"/>
      <c r="BJ209" s="47"/>
      <c r="BR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58"/>
      <c r="BD210" s="47"/>
      <c r="BE210" s="47"/>
      <c r="BF210" s="47"/>
      <c r="BG210" s="47"/>
      <c r="BH210" s="47"/>
      <c r="BI210" s="47"/>
      <c r="BJ210" s="47"/>
      <c r="BR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58"/>
      <c r="BD211" s="47"/>
      <c r="BE211" s="47"/>
      <c r="BF211" s="47"/>
      <c r="BG211" s="47"/>
      <c r="BH211" s="47"/>
      <c r="BI211" s="47"/>
      <c r="BJ211" s="47"/>
      <c r="BR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58"/>
      <c r="BD212" s="47"/>
      <c r="BE212" s="47"/>
      <c r="BF212" s="47"/>
      <c r="BG212" s="47"/>
      <c r="BH212" s="47"/>
      <c r="BI212" s="47"/>
      <c r="BJ212" s="47"/>
      <c r="BR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58"/>
      <c r="BD213" s="47"/>
      <c r="BE213" s="47"/>
      <c r="BF213" s="47"/>
      <c r="BG213" s="47"/>
      <c r="BH213" s="47"/>
      <c r="BI213" s="47"/>
      <c r="BJ213" s="47"/>
      <c r="BR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58"/>
      <c r="BD214" s="47"/>
      <c r="BE214" s="47"/>
      <c r="BF214" s="47"/>
      <c r="BG214" s="47"/>
      <c r="BH214" s="47"/>
      <c r="BI214" s="47"/>
      <c r="BJ214" s="47"/>
      <c r="BR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58"/>
      <c r="BD215" s="47"/>
      <c r="BE215" s="47"/>
      <c r="BF215" s="47"/>
      <c r="BG215" s="47"/>
      <c r="BH215" s="47"/>
      <c r="BI215" s="47"/>
      <c r="BJ215" s="47"/>
      <c r="BR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58"/>
      <c r="BD216" s="47"/>
      <c r="BE216" s="47"/>
      <c r="BF216" s="47"/>
      <c r="BG216" s="47"/>
      <c r="BH216" s="47"/>
      <c r="BI216" s="47"/>
      <c r="BJ216" s="47"/>
      <c r="BR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58"/>
      <c r="BD217" s="47"/>
      <c r="BE217" s="47"/>
      <c r="BF217" s="47"/>
      <c r="BG217" s="47"/>
      <c r="BH217" s="47"/>
      <c r="BI217" s="47"/>
      <c r="BJ217" s="47"/>
      <c r="BR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58"/>
      <c r="BD218" s="47"/>
      <c r="BE218" s="47"/>
      <c r="BF218" s="47"/>
      <c r="BG218" s="47"/>
      <c r="BH218" s="47"/>
      <c r="BI218" s="47"/>
      <c r="BJ218" s="47"/>
      <c r="BR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58"/>
      <c r="BD219" s="47"/>
      <c r="BE219" s="47"/>
      <c r="BF219" s="47"/>
      <c r="BG219" s="47"/>
      <c r="BH219" s="47"/>
      <c r="BI219" s="47"/>
      <c r="BJ219" s="47"/>
      <c r="BR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58"/>
      <c r="BD220" s="47"/>
      <c r="BE220" s="47"/>
      <c r="BF220" s="47"/>
      <c r="BG220" s="47"/>
      <c r="BH220" s="47"/>
      <c r="BI220" s="47"/>
      <c r="BJ220" s="47"/>
      <c r="BR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58"/>
      <c r="BD221" s="47"/>
      <c r="BE221" s="47"/>
      <c r="BF221" s="47"/>
      <c r="BG221" s="47"/>
      <c r="BH221" s="47"/>
      <c r="BI221" s="47"/>
      <c r="BJ221" s="47"/>
      <c r="BR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58"/>
      <c r="BD222" s="47"/>
      <c r="BE222" s="47"/>
      <c r="BF222" s="47"/>
      <c r="BG222" s="47"/>
      <c r="BH222" s="47"/>
      <c r="BI222" s="47"/>
      <c r="BJ222" s="47"/>
      <c r="BR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58"/>
      <c r="BD223" s="47"/>
      <c r="BE223" s="47"/>
      <c r="BF223" s="47"/>
      <c r="BG223" s="47"/>
      <c r="BH223" s="47"/>
      <c r="BI223" s="47"/>
      <c r="BJ223" s="47"/>
      <c r="BR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58"/>
      <c r="BD224" s="47"/>
      <c r="BE224" s="47"/>
      <c r="BF224" s="47"/>
      <c r="BG224" s="47"/>
      <c r="BH224" s="47"/>
      <c r="BI224" s="47"/>
      <c r="BJ224" s="47"/>
      <c r="BR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58"/>
      <c r="BD225" s="47"/>
      <c r="BE225" s="47"/>
      <c r="BF225" s="47"/>
      <c r="BG225" s="47"/>
      <c r="BH225" s="47"/>
      <c r="BI225" s="47"/>
      <c r="BJ225" s="47"/>
      <c r="BR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58"/>
      <c r="BD226" s="47"/>
      <c r="BE226" s="47"/>
      <c r="BF226" s="47"/>
      <c r="BG226" s="47"/>
      <c r="BH226" s="47"/>
      <c r="BI226" s="47"/>
      <c r="BJ226" s="47"/>
      <c r="BR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58"/>
      <c r="BD227" s="47"/>
      <c r="BE227" s="47"/>
      <c r="BF227" s="47"/>
      <c r="BG227" s="47"/>
      <c r="BH227" s="47"/>
      <c r="BI227" s="47"/>
      <c r="BJ227" s="47"/>
      <c r="BR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58"/>
      <c r="BD228" s="47"/>
      <c r="BE228" s="47"/>
      <c r="BF228" s="47"/>
      <c r="BG228" s="47"/>
      <c r="BH228" s="47"/>
      <c r="BI228" s="47"/>
      <c r="BJ228" s="47"/>
      <c r="BR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58"/>
      <c r="BD229" s="47"/>
      <c r="BE229" s="47"/>
      <c r="BF229" s="47"/>
      <c r="BG229" s="47"/>
      <c r="BH229" s="47"/>
      <c r="BI229" s="47"/>
      <c r="BJ229" s="47"/>
      <c r="BR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58"/>
      <c r="BD230" s="47"/>
      <c r="BE230" s="47"/>
      <c r="BF230" s="47"/>
      <c r="BG230" s="47"/>
      <c r="BH230" s="47"/>
      <c r="BI230" s="47"/>
      <c r="BJ230" s="47"/>
      <c r="BR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58"/>
      <c r="BD231" s="47"/>
      <c r="BE231" s="47"/>
      <c r="BF231" s="47"/>
      <c r="BG231" s="47"/>
      <c r="BH231" s="47"/>
      <c r="BI231" s="47"/>
      <c r="BJ231" s="47"/>
      <c r="BR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58"/>
      <c r="BD232" s="47"/>
      <c r="BE232" s="47"/>
      <c r="BF232" s="47"/>
      <c r="BG232" s="47"/>
      <c r="BH232" s="47"/>
      <c r="BI232" s="47"/>
      <c r="BJ232" s="47"/>
      <c r="BR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58"/>
      <c r="BD233" s="47"/>
      <c r="BE233" s="47"/>
      <c r="BF233" s="47"/>
      <c r="BG233" s="47"/>
      <c r="BH233" s="47"/>
      <c r="BI233" s="47"/>
      <c r="BJ233" s="47"/>
      <c r="BR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58"/>
      <c r="BD234" s="47"/>
      <c r="BE234" s="47"/>
      <c r="BF234" s="47"/>
      <c r="BG234" s="47"/>
      <c r="BH234" s="47"/>
      <c r="BI234" s="47"/>
      <c r="BJ234" s="47"/>
      <c r="BR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58"/>
      <c r="BD235" s="47"/>
      <c r="BE235" s="47"/>
      <c r="BF235" s="47"/>
      <c r="BG235" s="47"/>
      <c r="BH235" s="47"/>
      <c r="BI235" s="47"/>
      <c r="BJ235" s="47"/>
      <c r="BR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58"/>
      <c r="BD236" s="47"/>
      <c r="BE236" s="47"/>
      <c r="BF236" s="47"/>
      <c r="BG236" s="47"/>
      <c r="BH236" s="47"/>
      <c r="BI236" s="47"/>
      <c r="BJ236" s="47"/>
      <c r="BR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58"/>
      <c r="BD237" s="47"/>
      <c r="BE237" s="47"/>
      <c r="BF237" s="47"/>
      <c r="BG237" s="47"/>
      <c r="BH237" s="47"/>
      <c r="BI237" s="47"/>
      <c r="BJ237" s="47"/>
      <c r="BR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58"/>
      <c r="BD238" s="47"/>
      <c r="BE238" s="47"/>
      <c r="BF238" s="47"/>
      <c r="BG238" s="47"/>
      <c r="BH238" s="47"/>
      <c r="BI238" s="47"/>
      <c r="BJ238" s="47"/>
      <c r="BR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58"/>
      <c r="BD239" s="47"/>
      <c r="BE239" s="47"/>
      <c r="BF239" s="47"/>
      <c r="BG239" s="47"/>
      <c r="BH239" s="47"/>
      <c r="BI239" s="47"/>
      <c r="BJ239" s="47"/>
      <c r="BR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58"/>
      <c r="BD240" s="47"/>
      <c r="BE240" s="47"/>
      <c r="BF240" s="47"/>
      <c r="BG240" s="47"/>
      <c r="BH240" s="47"/>
      <c r="BI240" s="47"/>
      <c r="BJ240" s="47"/>
      <c r="BR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58"/>
      <c r="BD241" s="47"/>
      <c r="BE241" s="47"/>
      <c r="BF241" s="47"/>
      <c r="BG241" s="47"/>
      <c r="BH241" s="47"/>
      <c r="BI241" s="47"/>
      <c r="BJ241" s="47"/>
      <c r="BR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58"/>
      <c r="BD242" s="47"/>
      <c r="BE242" s="47"/>
      <c r="BF242" s="47"/>
      <c r="BG242" s="47"/>
      <c r="BH242" s="47"/>
      <c r="BI242" s="47"/>
      <c r="BJ242" s="47"/>
      <c r="BR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58"/>
      <c r="BD243" s="47"/>
      <c r="BE243" s="47"/>
      <c r="BF243" s="47"/>
      <c r="BG243" s="47"/>
      <c r="BH243" s="47"/>
      <c r="BI243" s="47"/>
      <c r="BJ243" s="47"/>
      <c r="BR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58"/>
      <c r="BD244" s="47"/>
      <c r="BE244" s="47"/>
      <c r="BF244" s="47"/>
      <c r="BG244" s="47"/>
      <c r="BH244" s="47"/>
      <c r="BI244" s="47"/>
      <c r="BJ244" s="47"/>
      <c r="BR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58"/>
      <c r="BD245" s="47"/>
      <c r="BE245" s="47"/>
      <c r="BF245" s="47"/>
      <c r="BG245" s="47"/>
      <c r="BH245" s="47"/>
      <c r="BI245" s="47"/>
      <c r="BJ245" s="47"/>
      <c r="BR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58"/>
      <c r="BD246" s="47"/>
      <c r="BE246" s="47"/>
      <c r="BF246" s="47"/>
      <c r="BG246" s="47"/>
      <c r="BH246" s="47"/>
      <c r="BI246" s="47"/>
      <c r="BJ246" s="47"/>
      <c r="BR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58"/>
      <c r="BD247" s="47"/>
      <c r="BE247" s="47"/>
      <c r="BF247" s="47"/>
      <c r="BG247" s="47"/>
      <c r="BH247" s="47"/>
      <c r="BI247" s="47"/>
      <c r="BJ247" s="47"/>
      <c r="BR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58"/>
      <c r="BD248" s="47"/>
      <c r="BE248" s="47"/>
      <c r="BF248" s="47"/>
      <c r="BG248" s="47"/>
      <c r="BH248" s="47"/>
      <c r="BI248" s="47"/>
      <c r="BJ248" s="47"/>
      <c r="BR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58"/>
      <c r="BD249" s="47"/>
      <c r="BE249" s="47"/>
      <c r="BF249" s="47"/>
      <c r="BG249" s="47"/>
      <c r="BH249" s="47"/>
      <c r="BI249" s="47"/>
      <c r="BJ249" s="47"/>
      <c r="BR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58"/>
      <c r="BD250" s="47"/>
      <c r="BE250" s="47"/>
      <c r="BF250" s="47"/>
      <c r="BG250" s="47"/>
      <c r="BH250" s="47"/>
      <c r="BI250" s="47"/>
      <c r="BJ250" s="47"/>
      <c r="BR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58"/>
      <c r="BD251" s="47"/>
      <c r="BE251" s="47"/>
      <c r="BF251" s="47"/>
      <c r="BG251" s="47"/>
      <c r="BH251" s="47"/>
      <c r="BI251" s="47"/>
      <c r="BJ251" s="47"/>
      <c r="BR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58"/>
      <c r="BD252" s="47"/>
      <c r="BE252" s="47"/>
      <c r="BF252" s="47"/>
      <c r="BG252" s="47"/>
      <c r="BH252" s="47"/>
      <c r="BI252" s="47"/>
      <c r="BJ252" s="47"/>
      <c r="BR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58"/>
      <c r="BD253" s="47"/>
      <c r="BE253" s="47"/>
      <c r="BF253" s="47"/>
      <c r="BG253" s="47"/>
      <c r="BH253" s="47"/>
      <c r="BI253" s="47"/>
      <c r="BJ253" s="47"/>
      <c r="BR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58"/>
      <c r="BD254" s="47"/>
      <c r="BE254" s="47"/>
      <c r="BF254" s="47"/>
      <c r="BG254" s="47"/>
      <c r="BH254" s="47"/>
      <c r="BI254" s="47"/>
      <c r="BJ254" s="47"/>
      <c r="BR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58"/>
      <c r="BD255" s="47"/>
      <c r="BE255" s="47"/>
      <c r="BF255" s="47"/>
      <c r="BG255" s="47"/>
      <c r="BH255" s="47"/>
      <c r="BI255" s="47"/>
      <c r="BJ255" s="47"/>
      <c r="BR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58"/>
      <c r="BD256" s="47"/>
      <c r="BE256" s="47"/>
      <c r="BF256" s="47"/>
      <c r="BG256" s="47"/>
      <c r="BH256" s="47"/>
      <c r="BI256" s="47"/>
      <c r="BJ256" s="47"/>
      <c r="BR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58"/>
      <c r="BD257" s="47"/>
      <c r="BE257" s="47"/>
      <c r="BF257" s="47"/>
      <c r="BG257" s="47"/>
      <c r="BH257" s="47"/>
      <c r="BI257" s="47"/>
      <c r="BJ257" s="47"/>
      <c r="BR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58"/>
      <c r="BD258" s="47"/>
      <c r="BE258" s="47"/>
      <c r="BF258" s="47"/>
      <c r="BG258" s="47"/>
      <c r="BH258" s="47"/>
      <c r="BI258" s="47"/>
      <c r="BJ258" s="47"/>
      <c r="BR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58"/>
      <c r="BD259" s="47"/>
      <c r="BE259" s="47"/>
      <c r="BF259" s="47"/>
      <c r="BG259" s="47"/>
      <c r="BH259" s="47"/>
      <c r="BI259" s="47"/>
      <c r="BJ259" s="47"/>
      <c r="BR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58"/>
      <c r="BD260" s="47"/>
      <c r="BE260" s="47"/>
      <c r="BF260" s="47"/>
      <c r="BG260" s="47"/>
      <c r="BH260" s="47"/>
      <c r="BI260" s="47"/>
      <c r="BJ260" s="47"/>
      <c r="BR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58"/>
      <c r="BD261" s="47"/>
      <c r="BE261" s="47"/>
      <c r="BF261" s="47"/>
      <c r="BG261" s="47"/>
      <c r="BH261" s="47"/>
      <c r="BI261" s="47"/>
      <c r="BJ261" s="47"/>
      <c r="BR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58"/>
      <c r="BD262" s="47"/>
      <c r="BE262" s="47"/>
      <c r="BF262" s="47"/>
      <c r="BG262" s="47"/>
      <c r="BH262" s="47"/>
      <c r="BI262" s="47"/>
      <c r="BJ262" s="47"/>
      <c r="BR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58"/>
      <c r="BD263" s="47"/>
      <c r="BE263" s="47"/>
      <c r="BF263" s="47"/>
      <c r="BG263" s="47"/>
      <c r="BH263" s="47"/>
      <c r="BI263" s="47"/>
      <c r="BJ263" s="47"/>
      <c r="BR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58"/>
      <c r="BD264" s="47"/>
      <c r="BE264" s="47"/>
      <c r="BF264" s="47"/>
      <c r="BG264" s="47"/>
      <c r="BH264" s="47"/>
      <c r="BI264" s="47"/>
      <c r="BJ264" s="47"/>
      <c r="BR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58"/>
      <c r="BD265" s="47"/>
      <c r="BE265" s="47"/>
      <c r="BF265" s="47"/>
      <c r="BG265" s="47"/>
      <c r="BH265" s="47"/>
      <c r="BI265" s="47"/>
      <c r="BJ265" s="47"/>
      <c r="BR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58"/>
      <c r="BD266" s="47"/>
      <c r="BE266" s="47"/>
      <c r="BF266" s="47"/>
      <c r="BG266" s="47"/>
      <c r="BH266" s="47"/>
      <c r="BI266" s="47"/>
      <c r="BJ266" s="47"/>
      <c r="BR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58"/>
      <c r="BD267" s="47"/>
      <c r="BE267" s="47"/>
      <c r="BF267" s="47"/>
      <c r="BG267" s="47"/>
      <c r="BH267" s="47"/>
      <c r="BI267" s="47"/>
      <c r="BJ267" s="47"/>
      <c r="BR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58"/>
      <c r="BD268" s="47"/>
      <c r="BE268" s="47"/>
      <c r="BF268" s="47"/>
      <c r="BG268" s="47"/>
      <c r="BH268" s="47"/>
      <c r="BI268" s="47"/>
      <c r="BJ268" s="47"/>
      <c r="BR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58"/>
      <c r="BD269" s="47"/>
      <c r="BE269" s="47"/>
      <c r="BF269" s="47"/>
      <c r="BG269" s="47"/>
      <c r="BH269" s="47"/>
      <c r="BI269" s="47"/>
      <c r="BJ269" s="47"/>
      <c r="BR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58"/>
      <c r="BD270" s="47"/>
      <c r="BE270" s="47"/>
      <c r="BF270" s="47"/>
      <c r="BG270" s="47"/>
      <c r="BH270" s="47"/>
      <c r="BI270" s="47"/>
      <c r="BJ270" s="47"/>
      <c r="BR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58"/>
      <c r="BD271" s="47"/>
      <c r="BE271" s="47"/>
      <c r="BF271" s="47"/>
      <c r="BG271" s="47"/>
      <c r="BH271" s="47"/>
      <c r="BI271" s="47"/>
      <c r="BJ271" s="47"/>
      <c r="BR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58"/>
      <c r="BD272" s="47"/>
      <c r="BE272" s="47"/>
      <c r="BF272" s="47"/>
      <c r="BG272" s="47"/>
      <c r="BH272" s="47"/>
      <c r="BI272" s="47"/>
      <c r="BJ272" s="47"/>
      <c r="BR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58"/>
      <c r="BD273" s="47"/>
      <c r="BE273" s="47"/>
      <c r="BF273" s="47"/>
      <c r="BG273" s="47"/>
      <c r="BH273" s="47"/>
      <c r="BI273" s="47"/>
      <c r="BJ273" s="47"/>
      <c r="BR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58"/>
      <c r="BD274" s="47"/>
      <c r="BE274" s="47"/>
      <c r="BF274" s="47"/>
      <c r="BG274" s="47"/>
      <c r="BH274" s="47"/>
      <c r="BI274" s="47"/>
      <c r="BJ274" s="47"/>
      <c r="BR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58"/>
      <c r="BD275" s="47"/>
      <c r="BE275" s="47"/>
      <c r="BF275" s="47"/>
      <c r="BG275" s="47"/>
      <c r="BH275" s="47"/>
      <c r="BI275" s="47"/>
      <c r="BJ275" s="47"/>
      <c r="BR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58"/>
      <c r="BD276" s="47"/>
      <c r="BE276" s="47"/>
      <c r="BF276" s="47"/>
      <c r="BG276" s="47"/>
      <c r="BH276" s="47"/>
      <c r="BI276" s="47"/>
      <c r="BJ276" s="47"/>
      <c r="BR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58"/>
      <c r="BD277" s="47"/>
      <c r="BE277" s="47"/>
      <c r="BF277" s="47"/>
      <c r="BG277" s="47"/>
      <c r="BH277" s="47"/>
      <c r="BI277" s="47"/>
      <c r="BJ277" s="47"/>
      <c r="BR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58"/>
      <c r="BD278" s="47"/>
      <c r="BE278" s="47"/>
      <c r="BF278" s="47"/>
      <c r="BG278" s="47"/>
      <c r="BH278" s="47"/>
      <c r="BI278" s="47"/>
      <c r="BJ278" s="47"/>
      <c r="BR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58"/>
      <c r="BD279" s="47"/>
      <c r="BE279" s="47"/>
      <c r="BF279" s="47"/>
      <c r="BG279" s="47"/>
      <c r="BH279" s="47"/>
      <c r="BI279" s="47"/>
      <c r="BJ279" s="47"/>
      <c r="BR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58"/>
      <c r="BD280" s="47"/>
      <c r="BE280" s="47"/>
      <c r="BF280" s="47"/>
      <c r="BG280" s="47"/>
      <c r="BH280" s="47"/>
      <c r="BI280" s="47"/>
      <c r="BJ280" s="47"/>
      <c r="BR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58"/>
      <c r="BD281" s="47"/>
      <c r="BE281" s="47"/>
      <c r="BF281" s="47"/>
      <c r="BG281" s="47"/>
      <c r="BH281" s="47"/>
      <c r="BI281" s="47"/>
      <c r="BJ281" s="47"/>
      <c r="BR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58"/>
      <c r="BD282" s="47"/>
      <c r="BE282" s="47"/>
      <c r="BF282" s="47"/>
      <c r="BG282" s="47"/>
      <c r="BH282" s="47"/>
      <c r="BI282" s="47"/>
      <c r="BJ282" s="47"/>
      <c r="BR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58"/>
      <c r="BD283" s="47"/>
      <c r="BE283" s="47"/>
      <c r="BF283" s="47"/>
      <c r="BG283" s="47"/>
      <c r="BH283" s="47"/>
      <c r="BI283" s="47"/>
      <c r="BJ283" s="47"/>
      <c r="BR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58"/>
      <c r="BD284" s="47"/>
      <c r="BE284" s="47"/>
      <c r="BF284" s="47"/>
      <c r="BG284" s="47"/>
      <c r="BH284" s="47"/>
      <c r="BI284" s="47"/>
      <c r="BJ284" s="47"/>
      <c r="BR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58"/>
      <c r="BD285" s="47"/>
      <c r="BE285" s="47"/>
      <c r="BF285" s="47"/>
      <c r="BG285" s="47"/>
      <c r="BH285" s="47"/>
      <c r="BI285" s="47"/>
      <c r="BJ285" s="47"/>
      <c r="BR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58"/>
      <c r="BD286" s="47"/>
      <c r="BE286" s="47"/>
      <c r="BF286" s="47"/>
      <c r="BG286" s="47"/>
      <c r="BH286" s="47"/>
      <c r="BI286" s="47"/>
      <c r="BJ286" s="47"/>
      <c r="BR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58"/>
      <c r="BD287" s="47"/>
      <c r="BE287" s="47"/>
      <c r="BF287" s="47"/>
      <c r="BG287" s="47"/>
      <c r="BH287" s="47"/>
      <c r="BI287" s="47"/>
      <c r="BJ287" s="47"/>
      <c r="BR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58"/>
      <c r="BD288" s="47"/>
      <c r="BE288" s="47"/>
      <c r="BF288" s="47"/>
      <c r="BG288" s="47"/>
      <c r="BH288" s="47"/>
      <c r="BI288" s="47"/>
      <c r="BJ288" s="47"/>
      <c r="BR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58"/>
      <c r="BD289" s="47"/>
      <c r="BE289" s="47"/>
      <c r="BF289" s="47"/>
      <c r="BG289" s="47"/>
      <c r="BH289" s="47"/>
      <c r="BI289" s="47"/>
      <c r="BJ289" s="47"/>
      <c r="BR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58"/>
      <c r="BD290" s="47"/>
      <c r="BE290" s="47"/>
      <c r="BF290" s="47"/>
      <c r="BG290" s="47"/>
      <c r="BH290" s="47"/>
      <c r="BI290" s="47"/>
      <c r="BJ290" s="47"/>
      <c r="BR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58"/>
      <c r="BD291" s="47"/>
      <c r="BE291" s="47"/>
      <c r="BF291" s="47"/>
      <c r="BG291" s="47"/>
      <c r="BH291" s="47"/>
      <c r="BI291" s="47"/>
      <c r="BJ291" s="47"/>
      <c r="BR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58"/>
      <c r="BD292" s="47"/>
      <c r="BE292" s="47"/>
      <c r="BF292" s="47"/>
      <c r="BG292" s="47"/>
      <c r="BH292" s="47"/>
      <c r="BI292" s="47"/>
      <c r="BJ292" s="47"/>
      <c r="BR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58"/>
      <c r="BD293" s="47"/>
      <c r="BE293" s="47"/>
      <c r="BF293" s="47"/>
      <c r="BG293" s="47"/>
      <c r="BH293" s="47"/>
      <c r="BI293" s="47"/>
      <c r="BJ293" s="47"/>
      <c r="BR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58"/>
      <c r="BD294" s="47"/>
      <c r="BE294" s="47"/>
      <c r="BF294" s="47"/>
      <c r="BG294" s="47"/>
      <c r="BH294" s="47"/>
      <c r="BI294" s="47"/>
      <c r="BJ294" s="47"/>
      <c r="BR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58"/>
      <c r="BD295" s="47"/>
      <c r="BE295" s="47"/>
      <c r="BF295" s="47"/>
      <c r="BG295" s="47"/>
      <c r="BH295" s="47"/>
      <c r="BI295" s="47"/>
      <c r="BJ295" s="47"/>
      <c r="BR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58"/>
      <c r="BD296" s="47"/>
      <c r="BE296" s="47"/>
      <c r="BF296" s="47"/>
      <c r="BG296" s="47"/>
      <c r="BH296" s="47"/>
      <c r="BI296" s="47"/>
      <c r="BJ296" s="47"/>
      <c r="BR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58"/>
      <c r="BD297" s="47"/>
      <c r="BE297" s="47"/>
      <c r="BF297" s="47"/>
      <c r="BG297" s="47"/>
      <c r="BH297" s="47"/>
      <c r="BI297" s="47"/>
      <c r="BJ297" s="47"/>
      <c r="BR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58"/>
      <c r="BD298" s="47"/>
      <c r="BE298" s="47"/>
      <c r="BF298" s="47"/>
      <c r="BG298" s="47"/>
      <c r="BH298" s="47"/>
      <c r="BI298" s="47"/>
      <c r="BJ298" s="47"/>
      <c r="BR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58"/>
      <c r="BD299" s="47"/>
      <c r="BE299" s="47"/>
      <c r="BF299" s="47"/>
      <c r="BG299" s="47"/>
      <c r="BH299" s="47"/>
      <c r="BI299" s="47"/>
      <c r="BJ299" s="47"/>
      <c r="BR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58"/>
      <c r="BD300" s="47"/>
      <c r="BE300" s="47"/>
      <c r="BF300" s="47"/>
      <c r="BG300" s="47"/>
      <c r="BH300" s="47"/>
      <c r="BI300" s="47"/>
      <c r="BJ300" s="47"/>
      <c r="BR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  <c r="AH301" s="47"/>
      <c r="AI301" s="47"/>
      <c r="AJ301" s="47"/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58"/>
      <c r="BD301" s="47"/>
      <c r="BE301" s="47"/>
      <c r="BF301" s="47"/>
      <c r="BG301" s="47"/>
      <c r="BH301" s="47"/>
      <c r="BI301" s="47"/>
      <c r="BJ301" s="47"/>
      <c r="BR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58"/>
      <c r="BD302" s="47"/>
      <c r="BE302" s="47"/>
      <c r="BF302" s="47"/>
      <c r="BG302" s="47"/>
      <c r="BH302" s="47"/>
      <c r="BI302" s="47"/>
      <c r="BJ302" s="47"/>
      <c r="BR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  <c r="AH303" s="47"/>
      <c r="AI303" s="47"/>
      <c r="AJ303" s="47"/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58"/>
      <c r="BD303" s="47"/>
      <c r="BE303" s="47"/>
      <c r="BF303" s="47"/>
      <c r="BG303" s="47"/>
      <c r="BH303" s="47"/>
      <c r="BI303" s="47"/>
      <c r="BJ303" s="47"/>
      <c r="BR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58"/>
      <c r="BD304" s="47"/>
      <c r="BE304" s="47"/>
      <c r="BF304" s="47"/>
      <c r="BG304" s="47"/>
      <c r="BH304" s="47"/>
      <c r="BI304" s="47"/>
      <c r="BJ304" s="47"/>
      <c r="BR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  <c r="AH305" s="47"/>
      <c r="AI305" s="47"/>
      <c r="AJ305" s="47"/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58"/>
      <c r="BD305" s="47"/>
      <c r="BE305" s="47"/>
      <c r="BF305" s="47"/>
      <c r="BG305" s="47"/>
      <c r="BH305" s="47"/>
      <c r="BI305" s="47"/>
      <c r="BJ305" s="47"/>
      <c r="BR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58"/>
      <c r="BD306" s="47"/>
      <c r="BE306" s="47"/>
      <c r="BF306" s="47"/>
      <c r="BG306" s="47"/>
      <c r="BH306" s="47"/>
      <c r="BI306" s="47"/>
      <c r="BJ306" s="47"/>
      <c r="BR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  <c r="AH307" s="47"/>
      <c r="AI307" s="47"/>
      <c r="AJ307" s="47"/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58"/>
      <c r="BD307" s="47"/>
      <c r="BE307" s="47"/>
      <c r="BF307" s="47"/>
      <c r="BG307" s="47"/>
      <c r="BH307" s="47"/>
      <c r="BI307" s="47"/>
      <c r="BJ307" s="47"/>
      <c r="BR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58"/>
      <c r="BD308" s="47"/>
      <c r="BE308" s="47"/>
      <c r="BF308" s="47"/>
      <c r="BG308" s="47"/>
      <c r="BH308" s="47"/>
      <c r="BI308" s="47"/>
      <c r="BJ308" s="47"/>
      <c r="BR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  <c r="AH309" s="47"/>
      <c r="AI309" s="47"/>
      <c r="AJ309" s="47"/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58"/>
      <c r="BD309" s="47"/>
      <c r="BE309" s="47"/>
      <c r="BF309" s="47"/>
      <c r="BG309" s="47"/>
      <c r="BH309" s="47"/>
      <c r="BI309" s="47"/>
      <c r="BJ309" s="47"/>
      <c r="BR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58"/>
      <c r="BD310" s="47"/>
      <c r="BE310" s="47"/>
      <c r="BF310" s="47"/>
      <c r="BG310" s="47"/>
      <c r="BH310" s="47"/>
      <c r="BI310" s="47"/>
      <c r="BJ310" s="47"/>
      <c r="BR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  <c r="AH311" s="47"/>
      <c r="AI311" s="47"/>
      <c r="AJ311" s="47"/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58"/>
      <c r="BD311" s="47"/>
      <c r="BE311" s="47"/>
      <c r="BF311" s="47"/>
      <c r="BG311" s="47"/>
      <c r="BH311" s="47"/>
      <c r="BI311" s="47"/>
      <c r="BJ311" s="47"/>
      <c r="BR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58"/>
      <c r="BD312" s="47"/>
      <c r="BE312" s="47"/>
      <c r="BF312" s="47"/>
      <c r="BG312" s="47"/>
      <c r="BH312" s="47"/>
      <c r="BI312" s="47"/>
      <c r="BJ312" s="47"/>
      <c r="BR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  <c r="AH313" s="47"/>
      <c r="AI313" s="47"/>
      <c r="AJ313" s="47"/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58"/>
      <c r="BD313" s="47"/>
      <c r="BE313" s="47"/>
      <c r="BF313" s="47"/>
      <c r="BG313" s="47"/>
      <c r="BH313" s="47"/>
      <c r="BI313" s="47"/>
      <c r="BJ313" s="47"/>
      <c r="BR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58"/>
      <c r="BD314" s="47"/>
      <c r="BE314" s="47"/>
      <c r="BF314" s="47"/>
      <c r="BG314" s="47"/>
      <c r="BH314" s="47"/>
      <c r="BI314" s="47"/>
      <c r="BJ314" s="47"/>
      <c r="BR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  <c r="AH315" s="47"/>
      <c r="AI315" s="47"/>
      <c r="AJ315" s="47"/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58"/>
      <c r="BD315" s="47"/>
      <c r="BE315" s="47"/>
      <c r="BF315" s="47"/>
      <c r="BG315" s="47"/>
      <c r="BH315" s="47"/>
      <c r="BI315" s="47"/>
      <c r="BJ315" s="47"/>
      <c r="BR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58"/>
      <c r="BD316" s="47"/>
      <c r="BE316" s="47"/>
      <c r="BF316" s="47"/>
      <c r="BG316" s="47"/>
      <c r="BH316" s="47"/>
      <c r="BI316" s="47"/>
      <c r="BJ316" s="47"/>
      <c r="BR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  <c r="AH317" s="47"/>
      <c r="AI317" s="47"/>
      <c r="AJ317" s="47"/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58"/>
      <c r="BD317" s="47"/>
      <c r="BE317" s="47"/>
      <c r="BF317" s="47"/>
      <c r="BG317" s="47"/>
      <c r="BH317" s="47"/>
      <c r="BI317" s="47"/>
      <c r="BJ317" s="47"/>
      <c r="BR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58"/>
      <c r="BD318" s="47"/>
      <c r="BE318" s="47"/>
      <c r="BF318" s="47"/>
      <c r="BG318" s="47"/>
      <c r="BH318" s="47"/>
      <c r="BI318" s="47"/>
      <c r="BJ318" s="47"/>
      <c r="BR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  <c r="AH319" s="47"/>
      <c r="AI319" s="47"/>
      <c r="AJ319" s="47"/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58"/>
      <c r="BD319" s="47"/>
      <c r="BE319" s="47"/>
      <c r="BF319" s="47"/>
      <c r="BG319" s="47"/>
      <c r="BH319" s="47"/>
      <c r="BI319" s="47"/>
      <c r="BJ319" s="47"/>
      <c r="BR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58"/>
      <c r="BD320" s="47"/>
      <c r="BE320" s="47"/>
      <c r="BF320" s="47"/>
      <c r="BG320" s="47"/>
      <c r="BH320" s="47"/>
      <c r="BI320" s="47"/>
      <c r="BJ320" s="47"/>
      <c r="BR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  <c r="AH321" s="47"/>
      <c r="AI321" s="47"/>
      <c r="AJ321" s="47"/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58"/>
      <c r="BD321" s="47"/>
      <c r="BE321" s="47"/>
      <c r="BF321" s="47"/>
      <c r="BG321" s="47"/>
      <c r="BH321" s="47"/>
      <c r="BI321" s="47"/>
      <c r="BJ321" s="47"/>
      <c r="BR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58"/>
      <c r="BD322" s="47"/>
      <c r="BE322" s="47"/>
      <c r="BF322" s="47"/>
      <c r="BG322" s="47"/>
      <c r="BH322" s="47"/>
      <c r="BI322" s="47"/>
      <c r="BJ322" s="47"/>
      <c r="BR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  <c r="AH323" s="47"/>
      <c r="AI323" s="47"/>
      <c r="AJ323" s="47"/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58"/>
      <c r="BD323" s="47"/>
      <c r="BE323" s="47"/>
      <c r="BF323" s="47"/>
      <c r="BG323" s="47"/>
      <c r="BH323" s="47"/>
      <c r="BI323" s="47"/>
      <c r="BJ323" s="47"/>
      <c r="BR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58"/>
      <c r="BD324" s="47"/>
      <c r="BE324" s="47"/>
      <c r="BF324" s="47"/>
      <c r="BG324" s="47"/>
      <c r="BH324" s="47"/>
      <c r="BI324" s="47"/>
      <c r="BJ324" s="47"/>
      <c r="BR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47"/>
      <c r="AI325" s="47"/>
      <c r="AJ325" s="47"/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58"/>
      <c r="BD325" s="47"/>
      <c r="BE325" s="47"/>
      <c r="BF325" s="47"/>
      <c r="BG325" s="47"/>
      <c r="BH325" s="47"/>
      <c r="BI325" s="47"/>
      <c r="BJ325" s="47"/>
      <c r="BR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58"/>
      <c r="BD326" s="47"/>
      <c r="BE326" s="47"/>
      <c r="BF326" s="47"/>
      <c r="BG326" s="47"/>
      <c r="BH326" s="47"/>
      <c r="BI326" s="47"/>
      <c r="BJ326" s="47"/>
      <c r="BR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47"/>
      <c r="AI327" s="47"/>
      <c r="AJ327" s="47"/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58"/>
      <c r="BD327" s="47"/>
      <c r="BE327" s="47"/>
      <c r="BF327" s="47"/>
      <c r="BG327" s="47"/>
      <c r="BH327" s="47"/>
      <c r="BI327" s="47"/>
      <c r="BJ327" s="47"/>
      <c r="BR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58"/>
      <c r="BD328" s="47"/>
      <c r="BE328" s="47"/>
      <c r="BF328" s="47"/>
      <c r="BG328" s="47"/>
      <c r="BH328" s="47"/>
      <c r="BI328" s="47"/>
      <c r="BJ328" s="47"/>
      <c r="BR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47"/>
      <c r="AI329" s="47"/>
      <c r="AJ329" s="47"/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58"/>
      <c r="BD329" s="47"/>
      <c r="BE329" s="47"/>
      <c r="BF329" s="47"/>
      <c r="BG329" s="47"/>
      <c r="BH329" s="47"/>
      <c r="BI329" s="47"/>
      <c r="BJ329" s="47"/>
      <c r="BR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58"/>
      <c r="BD330" s="47"/>
      <c r="BE330" s="47"/>
      <c r="BF330" s="47"/>
      <c r="BG330" s="47"/>
      <c r="BH330" s="47"/>
      <c r="BI330" s="47"/>
      <c r="BJ330" s="47"/>
      <c r="BR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47"/>
      <c r="AI331" s="47"/>
      <c r="AJ331" s="47"/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58"/>
      <c r="BD331" s="47"/>
      <c r="BE331" s="47"/>
      <c r="BF331" s="47"/>
      <c r="BG331" s="47"/>
      <c r="BH331" s="47"/>
      <c r="BI331" s="47"/>
      <c r="BJ331" s="47"/>
      <c r="BR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58"/>
      <c r="BD332" s="47"/>
      <c r="BE332" s="47"/>
      <c r="BF332" s="47"/>
      <c r="BG332" s="47"/>
      <c r="BH332" s="47"/>
      <c r="BI332" s="47"/>
      <c r="BJ332" s="47"/>
      <c r="BR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47"/>
      <c r="AI333" s="47"/>
      <c r="AJ333" s="47"/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58"/>
      <c r="BD333" s="47"/>
      <c r="BE333" s="47"/>
      <c r="BF333" s="47"/>
      <c r="BG333" s="47"/>
      <c r="BH333" s="47"/>
      <c r="BI333" s="47"/>
      <c r="BJ333" s="47"/>
      <c r="BR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58"/>
      <c r="BD334" s="47"/>
      <c r="BE334" s="47"/>
      <c r="BF334" s="47"/>
      <c r="BG334" s="47"/>
      <c r="BH334" s="47"/>
      <c r="BI334" s="47"/>
      <c r="BJ334" s="47"/>
      <c r="BR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47"/>
      <c r="AI335" s="47"/>
      <c r="AJ335" s="47"/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58"/>
      <c r="BD335" s="47"/>
      <c r="BE335" s="47"/>
      <c r="BF335" s="47"/>
      <c r="BG335" s="47"/>
      <c r="BH335" s="47"/>
      <c r="BI335" s="47"/>
      <c r="BJ335" s="47"/>
      <c r="BR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58"/>
      <c r="BD336" s="47"/>
      <c r="BE336" s="47"/>
      <c r="BF336" s="47"/>
      <c r="BG336" s="47"/>
      <c r="BH336" s="47"/>
      <c r="BI336" s="47"/>
      <c r="BJ336" s="47"/>
      <c r="BR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47"/>
      <c r="AI337" s="47"/>
      <c r="AJ337" s="47"/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58"/>
      <c r="BD337" s="47"/>
      <c r="BE337" s="47"/>
      <c r="BF337" s="47"/>
      <c r="BG337" s="47"/>
      <c r="BH337" s="47"/>
      <c r="BI337" s="47"/>
      <c r="BJ337" s="47"/>
      <c r="BR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58"/>
      <c r="BD338" s="47"/>
      <c r="BE338" s="47"/>
      <c r="BF338" s="47"/>
      <c r="BG338" s="47"/>
      <c r="BH338" s="47"/>
      <c r="BI338" s="47"/>
      <c r="BJ338" s="47"/>
      <c r="BR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47"/>
      <c r="AI339" s="47"/>
      <c r="AJ339" s="47"/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58"/>
      <c r="BD339" s="47"/>
      <c r="BE339" s="47"/>
      <c r="BF339" s="47"/>
      <c r="BG339" s="47"/>
      <c r="BH339" s="47"/>
      <c r="BI339" s="47"/>
      <c r="BJ339" s="47"/>
      <c r="BR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58"/>
      <c r="BD340" s="47"/>
      <c r="BE340" s="47"/>
      <c r="BF340" s="47"/>
      <c r="BG340" s="47"/>
      <c r="BH340" s="47"/>
      <c r="BI340" s="47"/>
      <c r="BJ340" s="47"/>
      <c r="BR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47"/>
      <c r="AI341" s="47"/>
      <c r="AJ341" s="47"/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58"/>
      <c r="BD341" s="47"/>
      <c r="BE341" s="47"/>
      <c r="BF341" s="47"/>
      <c r="BG341" s="47"/>
      <c r="BH341" s="47"/>
      <c r="BI341" s="47"/>
      <c r="BJ341" s="47"/>
      <c r="BR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58"/>
      <c r="BD342" s="47"/>
      <c r="BE342" s="47"/>
      <c r="BF342" s="47"/>
      <c r="BG342" s="47"/>
      <c r="BH342" s="47"/>
      <c r="BI342" s="47"/>
      <c r="BJ342" s="47"/>
      <c r="BR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47"/>
      <c r="AI343" s="47"/>
      <c r="AJ343" s="47"/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58"/>
      <c r="BD343" s="47"/>
      <c r="BE343" s="47"/>
      <c r="BF343" s="47"/>
      <c r="BG343" s="47"/>
      <c r="BH343" s="47"/>
      <c r="BI343" s="47"/>
      <c r="BJ343" s="47"/>
      <c r="BR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58"/>
      <c r="BD344" s="47"/>
      <c r="BE344" s="47"/>
      <c r="BF344" s="47"/>
      <c r="BG344" s="47"/>
      <c r="BH344" s="47"/>
      <c r="BI344" s="47"/>
      <c r="BJ344" s="47"/>
      <c r="BR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47"/>
      <c r="AI345" s="47"/>
      <c r="AJ345" s="47"/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58"/>
      <c r="BD345" s="47"/>
      <c r="BE345" s="47"/>
      <c r="BF345" s="47"/>
      <c r="BG345" s="47"/>
      <c r="BH345" s="47"/>
      <c r="BI345" s="47"/>
      <c r="BJ345" s="47"/>
      <c r="BR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58"/>
      <c r="BD346" s="47"/>
      <c r="BE346" s="47"/>
      <c r="BF346" s="47"/>
      <c r="BG346" s="47"/>
      <c r="BH346" s="47"/>
      <c r="BI346" s="47"/>
      <c r="BJ346" s="47"/>
      <c r="BR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47"/>
      <c r="AI347" s="47"/>
      <c r="AJ347" s="47"/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58"/>
      <c r="BD347" s="47"/>
      <c r="BE347" s="47"/>
      <c r="BF347" s="47"/>
      <c r="BG347" s="47"/>
      <c r="BH347" s="47"/>
      <c r="BI347" s="47"/>
      <c r="BJ347" s="47"/>
      <c r="BR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58"/>
      <c r="BD348" s="47"/>
      <c r="BE348" s="47"/>
      <c r="BF348" s="47"/>
      <c r="BG348" s="47"/>
      <c r="BH348" s="47"/>
      <c r="BI348" s="47"/>
      <c r="BJ348" s="47"/>
      <c r="BR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  <c r="AH349" s="47"/>
      <c r="AI349" s="47"/>
      <c r="AJ349" s="47"/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58"/>
      <c r="BD349" s="47"/>
      <c r="BE349" s="47"/>
      <c r="BF349" s="47"/>
      <c r="BG349" s="47"/>
      <c r="BH349" s="47"/>
      <c r="BI349" s="47"/>
      <c r="BJ349" s="47"/>
      <c r="BR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58"/>
      <c r="BD350" s="47"/>
      <c r="BE350" s="47"/>
      <c r="BF350" s="47"/>
      <c r="BG350" s="47"/>
      <c r="BH350" s="47"/>
      <c r="BI350" s="47"/>
      <c r="BJ350" s="47"/>
      <c r="BR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  <c r="AH351" s="47"/>
      <c r="AI351" s="47"/>
      <c r="AJ351" s="47"/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58"/>
      <c r="BD351" s="47"/>
      <c r="BE351" s="47"/>
      <c r="BF351" s="47"/>
      <c r="BG351" s="47"/>
      <c r="BH351" s="47"/>
      <c r="BI351" s="47"/>
      <c r="BJ351" s="47"/>
      <c r="BR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58"/>
      <c r="BD352" s="47"/>
      <c r="BE352" s="47"/>
      <c r="BF352" s="47"/>
      <c r="BG352" s="47"/>
      <c r="BH352" s="47"/>
      <c r="BI352" s="47"/>
      <c r="BJ352" s="47"/>
      <c r="BR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  <c r="AH353" s="47"/>
      <c r="AI353" s="47"/>
      <c r="AJ353" s="47"/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58"/>
      <c r="BD353" s="47"/>
      <c r="BE353" s="47"/>
      <c r="BF353" s="47"/>
      <c r="BG353" s="47"/>
      <c r="BH353" s="47"/>
      <c r="BI353" s="47"/>
      <c r="BJ353" s="47"/>
      <c r="BR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58"/>
      <c r="BD354" s="47"/>
      <c r="BE354" s="47"/>
      <c r="BF354" s="47"/>
      <c r="BG354" s="47"/>
      <c r="BH354" s="47"/>
      <c r="BI354" s="47"/>
      <c r="BJ354" s="47"/>
      <c r="BR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  <c r="AH355" s="47"/>
      <c r="AI355" s="47"/>
      <c r="AJ355" s="47"/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58"/>
      <c r="BD355" s="47"/>
      <c r="BE355" s="47"/>
      <c r="BF355" s="47"/>
      <c r="BG355" s="47"/>
      <c r="BH355" s="47"/>
      <c r="BI355" s="47"/>
      <c r="BJ355" s="47"/>
      <c r="BR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58"/>
      <c r="BD356" s="47"/>
      <c r="BE356" s="47"/>
      <c r="BF356" s="47"/>
      <c r="BG356" s="47"/>
      <c r="BH356" s="47"/>
      <c r="BI356" s="47"/>
      <c r="BJ356" s="47"/>
      <c r="BR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  <c r="AH357" s="47"/>
      <c r="AI357" s="47"/>
      <c r="AJ357" s="47"/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58"/>
      <c r="BD357" s="47"/>
      <c r="BE357" s="47"/>
      <c r="BF357" s="47"/>
      <c r="BG357" s="47"/>
      <c r="BH357" s="47"/>
      <c r="BI357" s="47"/>
      <c r="BJ357" s="47"/>
      <c r="BR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58"/>
      <c r="BD358" s="47"/>
      <c r="BE358" s="47"/>
      <c r="BF358" s="47"/>
      <c r="BG358" s="47"/>
      <c r="BH358" s="47"/>
      <c r="BI358" s="47"/>
      <c r="BJ358" s="47"/>
      <c r="BR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  <c r="AH359" s="47"/>
      <c r="AI359" s="47"/>
      <c r="AJ359" s="47"/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58"/>
      <c r="BD359" s="47"/>
      <c r="BE359" s="47"/>
      <c r="BF359" s="47"/>
      <c r="BG359" s="47"/>
      <c r="BH359" s="47"/>
      <c r="BI359" s="47"/>
      <c r="BJ359" s="47"/>
      <c r="BR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58"/>
      <c r="BD360" s="47"/>
      <c r="BE360" s="47"/>
      <c r="BF360" s="47"/>
      <c r="BG360" s="47"/>
      <c r="BH360" s="47"/>
      <c r="BI360" s="47"/>
      <c r="BJ360" s="47"/>
      <c r="BR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  <c r="AH361" s="47"/>
      <c r="AI361" s="47"/>
      <c r="AJ361" s="47"/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58"/>
      <c r="BD361" s="47"/>
      <c r="BE361" s="47"/>
      <c r="BF361" s="47"/>
      <c r="BG361" s="47"/>
      <c r="BH361" s="47"/>
      <c r="BI361" s="47"/>
      <c r="BJ361" s="47"/>
      <c r="BR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58"/>
      <c r="BD362" s="47"/>
      <c r="BE362" s="47"/>
      <c r="BF362" s="47"/>
      <c r="BG362" s="47"/>
      <c r="BH362" s="47"/>
      <c r="BI362" s="47"/>
      <c r="BJ362" s="47"/>
      <c r="BR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  <c r="AH363" s="47"/>
      <c r="AI363" s="47"/>
      <c r="AJ363" s="47"/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58"/>
      <c r="BD363" s="47"/>
      <c r="BE363" s="47"/>
      <c r="BF363" s="47"/>
      <c r="BG363" s="47"/>
      <c r="BH363" s="47"/>
      <c r="BI363" s="47"/>
      <c r="BJ363" s="47"/>
      <c r="BR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58"/>
      <c r="BD364" s="47"/>
      <c r="BE364" s="47"/>
      <c r="BF364" s="47"/>
      <c r="BG364" s="47"/>
      <c r="BH364" s="47"/>
      <c r="BI364" s="47"/>
      <c r="BJ364" s="47"/>
      <c r="BR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  <c r="AH365" s="47"/>
      <c r="AI365" s="47"/>
      <c r="AJ365" s="47"/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58"/>
      <c r="BD365" s="47"/>
      <c r="BE365" s="47"/>
      <c r="BF365" s="47"/>
      <c r="BG365" s="47"/>
      <c r="BH365" s="47"/>
      <c r="BI365" s="47"/>
      <c r="BJ365" s="47"/>
      <c r="BR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58"/>
      <c r="BD366" s="47"/>
      <c r="BE366" s="47"/>
      <c r="BF366" s="47"/>
      <c r="BG366" s="47"/>
      <c r="BH366" s="47"/>
      <c r="BI366" s="47"/>
      <c r="BJ366" s="47"/>
      <c r="BR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58"/>
      <c r="BD367" s="47"/>
      <c r="BE367" s="47"/>
      <c r="BF367" s="47"/>
      <c r="BG367" s="47"/>
      <c r="BH367" s="47"/>
      <c r="BI367" s="47"/>
      <c r="BJ367" s="47"/>
      <c r="BR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58"/>
      <c r="BD368" s="47"/>
      <c r="BE368" s="47"/>
      <c r="BF368" s="47"/>
      <c r="BG368" s="47"/>
      <c r="BH368" s="47"/>
      <c r="BI368" s="47"/>
      <c r="BJ368" s="47"/>
      <c r="BR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58"/>
      <c r="BD369" s="47"/>
      <c r="BE369" s="47"/>
      <c r="BF369" s="47"/>
      <c r="BG369" s="47"/>
      <c r="BH369" s="47"/>
      <c r="BI369" s="47"/>
      <c r="BJ369" s="47"/>
      <c r="BR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58"/>
      <c r="BD370" s="47"/>
      <c r="BE370" s="47"/>
      <c r="BF370" s="47"/>
      <c r="BG370" s="47"/>
      <c r="BH370" s="47"/>
      <c r="BI370" s="47"/>
      <c r="BJ370" s="47"/>
      <c r="BR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58"/>
      <c r="BD371" s="47"/>
      <c r="BE371" s="47"/>
      <c r="BF371" s="47"/>
      <c r="BG371" s="47"/>
      <c r="BH371" s="47"/>
      <c r="BI371" s="47"/>
      <c r="BJ371" s="47"/>
      <c r="BR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58"/>
      <c r="BD372" s="47"/>
      <c r="BE372" s="47"/>
      <c r="BF372" s="47"/>
      <c r="BG372" s="47"/>
      <c r="BH372" s="47"/>
      <c r="BI372" s="47"/>
      <c r="BJ372" s="47"/>
      <c r="BR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58"/>
      <c r="BD373" s="47"/>
      <c r="BE373" s="47"/>
      <c r="BF373" s="47"/>
      <c r="BG373" s="47"/>
      <c r="BH373" s="47"/>
      <c r="BI373" s="47"/>
      <c r="BJ373" s="47"/>
      <c r="BR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58"/>
      <c r="BD374" s="47"/>
      <c r="BE374" s="47"/>
      <c r="BF374" s="47"/>
      <c r="BG374" s="47"/>
      <c r="BH374" s="47"/>
      <c r="BI374" s="47"/>
      <c r="BJ374" s="47"/>
      <c r="BR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58"/>
      <c r="BD375" s="47"/>
      <c r="BE375" s="47"/>
      <c r="BF375" s="47"/>
      <c r="BG375" s="47"/>
      <c r="BH375" s="47"/>
      <c r="BI375" s="47"/>
      <c r="BJ375" s="47"/>
      <c r="BR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58"/>
      <c r="BD376" s="47"/>
      <c r="BE376" s="47"/>
      <c r="BF376" s="47"/>
      <c r="BG376" s="47"/>
      <c r="BH376" s="47"/>
      <c r="BI376" s="47"/>
      <c r="BJ376" s="47"/>
      <c r="BR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58"/>
      <c r="BD377" s="47"/>
      <c r="BE377" s="47"/>
      <c r="BF377" s="47"/>
      <c r="BG377" s="47"/>
      <c r="BH377" s="47"/>
      <c r="BI377" s="47"/>
      <c r="BJ377" s="47"/>
      <c r="BR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58"/>
      <c r="BD378" s="47"/>
      <c r="BE378" s="47"/>
      <c r="BF378" s="47"/>
      <c r="BG378" s="47"/>
      <c r="BH378" s="47"/>
      <c r="BI378" s="47"/>
      <c r="BJ378" s="47"/>
      <c r="BR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58"/>
      <c r="BD379" s="47"/>
      <c r="BE379" s="47"/>
      <c r="BF379" s="47"/>
      <c r="BG379" s="47"/>
      <c r="BH379" s="47"/>
      <c r="BI379" s="47"/>
      <c r="BJ379" s="47"/>
      <c r="BR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58"/>
      <c r="BD380" s="47"/>
      <c r="BE380" s="47"/>
      <c r="BF380" s="47"/>
      <c r="BG380" s="47"/>
      <c r="BH380" s="47"/>
      <c r="BI380" s="47"/>
      <c r="BJ380" s="47"/>
      <c r="BR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58"/>
      <c r="BD381" s="47"/>
      <c r="BE381" s="47"/>
      <c r="BF381" s="47"/>
      <c r="BG381" s="47"/>
      <c r="BH381" s="47"/>
      <c r="BI381" s="47"/>
      <c r="BJ381" s="47"/>
      <c r="BR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58"/>
      <c r="BD382" s="47"/>
      <c r="BE382" s="47"/>
      <c r="BF382" s="47"/>
      <c r="BG382" s="47"/>
      <c r="BH382" s="47"/>
      <c r="BI382" s="47"/>
      <c r="BJ382" s="47"/>
      <c r="BR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  <c r="AH383" s="47"/>
      <c r="AI383" s="47"/>
      <c r="AJ383" s="47"/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58"/>
      <c r="BD383" s="47"/>
      <c r="BE383" s="47"/>
      <c r="BF383" s="47"/>
      <c r="BG383" s="47"/>
      <c r="BH383" s="47"/>
      <c r="BI383" s="47"/>
      <c r="BJ383" s="47"/>
      <c r="BR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58"/>
      <c r="BD384" s="47"/>
      <c r="BE384" s="47"/>
      <c r="BF384" s="47"/>
      <c r="BG384" s="47"/>
      <c r="BH384" s="47"/>
      <c r="BI384" s="47"/>
      <c r="BJ384" s="47"/>
      <c r="BR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  <c r="AH385" s="47"/>
      <c r="AI385" s="47"/>
      <c r="AJ385" s="47"/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58"/>
      <c r="BD385" s="47"/>
      <c r="BE385" s="47"/>
      <c r="BF385" s="47"/>
      <c r="BG385" s="47"/>
      <c r="BH385" s="47"/>
      <c r="BI385" s="47"/>
      <c r="BJ385" s="47"/>
      <c r="BR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58"/>
      <c r="BD386" s="47"/>
      <c r="BE386" s="47"/>
      <c r="BF386" s="47"/>
      <c r="BG386" s="47"/>
      <c r="BH386" s="47"/>
      <c r="BI386" s="47"/>
      <c r="BJ386" s="47"/>
      <c r="BR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  <c r="AH387" s="47"/>
      <c r="AI387" s="47"/>
      <c r="AJ387" s="47"/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58"/>
      <c r="BD387" s="47"/>
      <c r="BE387" s="47"/>
      <c r="BF387" s="47"/>
      <c r="BG387" s="47"/>
      <c r="BH387" s="47"/>
      <c r="BI387" s="47"/>
      <c r="BJ387" s="47"/>
      <c r="BR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58"/>
      <c r="BD388" s="47"/>
      <c r="BE388" s="47"/>
      <c r="BF388" s="47"/>
      <c r="BG388" s="47"/>
      <c r="BH388" s="47"/>
      <c r="BI388" s="47"/>
      <c r="BJ388" s="47"/>
      <c r="BR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58"/>
      <c r="BD389" s="47"/>
      <c r="BE389" s="47"/>
      <c r="BF389" s="47"/>
      <c r="BG389" s="47"/>
      <c r="BH389" s="47"/>
      <c r="BI389" s="47"/>
      <c r="BJ389" s="47"/>
      <c r="BR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58"/>
      <c r="BD390" s="47"/>
      <c r="BE390" s="47"/>
      <c r="BF390" s="47"/>
      <c r="BG390" s="47"/>
      <c r="BH390" s="47"/>
      <c r="BI390" s="47"/>
      <c r="BJ390" s="47"/>
      <c r="BR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  <c r="AI391" s="47"/>
      <c r="AJ391" s="47"/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58"/>
      <c r="BD391" s="47"/>
      <c r="BE391" s="47"/>
      <c r="BF391" s="47"/>
      <c r="BG391" s="47"/>
      <c r="BH391" s="47"/>
      <c r="BI391" s="47"/>
      <c r="BJ391" s="47"/>
      <c r="BR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58"/>
      <c r="BD392" s="47"/>
      <c r="BE392" s="47"/>
      <c r="BF392" s="47"/>
      <c r="BG392" s="47"/>
      <c r="BH392" s="47"/>
      <c r="BI392" s="47"/>
      <c r="BJ392" s="47"/>
      <c r="BR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  <c r="AI393" s="47"/>
      <c r="AJ393" s="47"/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58"/>
      <c r="BD393" s="47"/>
      <c r="BE393" s="47"/>
      <c r="BF393" s="47"/>
      <c r="BG393" s="47"/>
      <c r="BH393" s="47"/>
      <c r="BI393" s="47"/>
      <c r="BJ393" s="47"/>
      <c r="BR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58"/>
      <c r="BD394" s="47"/>
      <c r="BE394" s="47"/>
      <c r="BF394" s="47"/>
      <c r="BG394" s="47"/>
      <c r="BH394" s="47"/>
      <c r="BI394" s="47"/>
      <c r="BJ394" s="47"/>
      <c r="BR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  <c r="AI395" s="47"/>
      <c r="AJ395" s="47"/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58"/>
      <c r="BD395" s="47"/>
      <c r="BE395" s="47"/>
      <c r="BF395" s="47"/>
      <c r="BG395" s="47"/>
      <c r="BH395" s="47"/>
      <c r="BI395" s="47"/>
      <c r="BJ395" s="47"/>
      <c r="BR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58"/>
      <c r="BD396" s="47"/>
      <c r="BE396" s="47"/>
      <c r="BF396" s="47"/>
      <c r="BG396" s="47"/>
      <c r="BH396" s="47"/>
      <c r="BI396" s="47"/>
      <c r="BJ396" s="47"/>
      <c r="BR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  <c r="AI397" s="47"/>
      <c r="AJ397" s="47"/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58"/>
      <c r="BD397" s="47"/>
      <c r="BE397" s="47"/>
      <c r="BF397" s="47"/>
      <c r="BG397" s="47"/>
      <c r="BH397" s="47"/>
      <c r="BI397" s="47"/>
      <c r="BJ397" s="47"/>
      <c r="BR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58"/>
      <c r="BD398" s="47"/>
      <c r="BE398" s="47"/>
      <c r="BF398" s="47"/>
      <c r="BG398" s="47"/>
      <c r="BH398" s="47"/>
      <c r="BI398" s="47"/>
      <c r="BJ398" s="47"/>
      <c r="BR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  <c r="AI399" s="47"/>
      <c r="AJ399" s="47"/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58"/>
      <c r="BD399" s="47"/>
      <c r="BE399" s="47"/>
      <c r="BF399" s="47"/>
      <c r="BG399" s="47"/>
      <c r="BH399" s="47"/>
      <c r="BI399" s="47"/>
      <c r="BJ399" s="47"/>
      <c r="BR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58"/>
      <c r="BD400" s="47"/>
      <c r="BE400" s="47"/>
      <c r="BF400" s="47"/>
      <c r="BG400" s="47"/>
      <c r="BH400" s="47"/>
      <c r="BI400" s="47"/>
      <c r="BJ400" s="47"/>
      <c r="BR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  <c r="AI401" s="47"/>
      <c r="AJ401" s="47"/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58"/>
      <c r="BD401" s="47"/>
      <c r="BE401" s="47"/>
      <c r="BF401" s="47"/>
      <c r="BG401" s="47"/>
      <c r="BH401" s="47"/>
      <c r="BI401" s="47"/>
      <c r="BJ401" s="47"/>
      <c r="BR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58"/>
      <c r="BD402" s="47"/>
      <c r="BE402" s="47"/>
      <c r="BF402" s="47"/>
      <c r="BG402" s="47"/>
      <c r="BH402" s="47"/>
      <c r="BI402" s="47"/>
      <c r="BJ402" s="47"/>
      <c r="BR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58"/>
      <c r="BD403" s="47"/>
      <c r="BE403" s="47"/>
      <c r="BF403" s="47"/>
      <c r="BG403" s="47"/>
      <c r="BH403" s="47"/>
      <c r="BI403" s="47"/>
      <c r="BJ403" s="47"/>
      <c r="BR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58"/>
      <c r="BD404" s="47"/>
      <c r="BE404" s="47"/>
      <c r="BF404" s="47"/>
      <c r="BG404" s="47"/>
      <c r="BH404" s="47"/>
      <c r="BI404" s="47"/>
      <c r="BJ404" s="47"/>
      <c r="BR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  <c r="AI405" s="47"/>
      <c r="AJ405" s="47"/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58"/>
      <c r="BD405" s="47"/>
      <c r="BE405" s="47"/>
      <c r="BF405" s="47"/>
      <c r="BG405" s="47"/>
      <c r="BH405" s="47"/>
      <c r="BI405" s="47"/>
      <c r="BJ405" s="47"/>
      <c r="BR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58"/>
      <c r="BD406" s="47"/>
      <c r="BE406" s="47"/>
      <c r="BF406" s="47"/>
      <c r="BG406" s="47"/>
      <c r="BH406" s="47"/>
      <c r="BI406" s="47"/>
      <c r="BJ406" s="47"/>
      <c r="BR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  <c r="AI407" s="47"/>
      <c r="AJ407" s="47"/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58"/>
      <c r="BD407" s="47"/>
      <c r="BE407" s="47"/>
      <c r="BF407" s="47"/>
      <c r="BG407" s="47"/>
      <c r="BH407" s="47"/>
      <c r="BI407" s="47"/>
      <c r="BJ407" s="47"/>
      <c r="BR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58"/>
      <c r="BD408" s="47"/>
      <c r="BE408" s="47"/>
      <c r="BF408" s="47"/>
      <c r="BG408" s="47"/>
      <c r="BH408" s="47"/>
      <c r="BI408" s="47"/>
      <c r="BJ408" s="47"/>
      <c r="BR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  <c r="AI409" s="47"/>
      <c r="AJ409" s="47"/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58"/>
      <c r="BD409" s="47"/>
      <c r="BE409" s="47"/>
      <c r="BF409" s="47"/>
      <c r="BG409" s="47"/>
      <c r="BH409" s="47"/>
      <c r="BI409" s="47"/>
      <c r="BJ409" s="47"/>
      <c r="BR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58"/>
      <c r="BD410" s="47"/>
      <c r="BE410" s="47"/>
      <c r="BF410" s="47"/>
      <c r="BG410" s="47"/>
      <c r="BH410" s="47"/>
      <c r="BI410" s="47"/>
      <c r="BJ410" s="47"/>
      <c r="BR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  <c r="AI411" s="47"/>
      <c r="AJ411" s="47"/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58"/>
      <c r="BD411" s="47"/>
      <c r="BE411" s="47"/>
      <c r="BF411" s="47"/>
      <c r="BG411" s="47"/>
      <c r="BH411" s="47"/>
      <c r="BI411" s="47"/>
      <c r="BJ411" s="47"/>
      <c r="BR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58"/>
      <c r="BD412" s="47"/>
      <c r="BE412" s="47"/>
      <c r="BF412" s="47"/>
      <c r="BG412" s="47"/>
      <c r="BH412" s="47"/>
      <c r="BI412" s="47"/>
      <c r="BJ412" s="47"/>
      <c r="BR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  <c r="AH413" s="47"/>
      <c r="AI413" s="47"/>
      <c r="AJ413" s="47"/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58"/>
      <c r="BD413" s="47"/>
      <c r="BE413" s="47"/>
      <c r="BF413" s="47"/>
      <c r="BG413" s="47"/>
      <c r="BH413" s="47"/>
      <c r="BI413" s="47"/>
      <c r="BJ413" s="47"/>
      <c r="BR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58"/>
      <c r="BD414" s="47"/>
      <c r="BE414" s="47"/>
      <c r="BF414" s="47"/>
      <c r="BG414" s="47"/>
      <c r="BH414" s="47"/>
      <c r="BI414" s="47"/>
      <c r="BJ414" s="47"/>
      <c r="BR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  <c r="AH415" s="47"/>
      <c r="AI415" s="47"/>
      <c r="AJ415" s="47"/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58"/>
      <c r="BD415" s="47"/>
      <c r="BE415" s="47"/>
      <c r="BF415" s="47"/>
      <c r="BG415" s="47"/>
      <c r="BH415" s="47"/>
      <c r="BI415" s="47"/>
      <c r="BJ415" s="47"/>
      <c r="BR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58"/>
      <c r="BD416" s="47"/>
      <c r="BE416" s="47"/>
      <c r="BF416" s="47"/>
      <c r="BG416" s="47"/>
      <c r="BH416" s="47"/>
      <c r="BI416" s="47"/>
      <c r="BJ416" s="47"/>
      <c r="BR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58"/>
      <c r="BD417" s="47"/>
      <c r="BE417" s="47"/>
      <c r="BF417" s="47"/>
      <c r="BG417" s="47"/>
      <c r="BH417" s="47"/>
      <c r="BI417" s="47"/>
      <c r="BJ417" s="47"/>
      <c r="BR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58"/>
      <c r="BD418" s="47"/>
      <c r="BE418" s="47"/>
      <c r="BF418" s="47"/>
      <c r="BG418" s="47"/>
      <c r="BH418" s="47"/>
      <c r="BI418" s="47"/>
      <c r="BJ418" s="47"/>
      <c r="BR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  <c r="AH419" s="47"/>
      <c r="AI419" s="47"/>
      <c r="AJ419" s="47"/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58"/>
      <c r="BD419" s="47"/>
      <c r="BE419" s="47"/>
      <c r="BF419" s="47"/>
      <c r="BG419" s="47"/>
      <c r="BH419" s="47"/>
      <c r="BI419" s="47"/>
      <c r="BJ419" s="47"/>
      <c r="BR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58"/>
      <c r="BD420" s="47"/>
      <c r="BE420" s="47"/>
      <c r="BF420" s="47"/>
      <c r="BG420" s="47"/>
      <c r="BH420" s="47"/>
      <c r="BI420" s="47"/>
      <c r="BJ420" s="47"/>
      <c r="BR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  <c r="AH421" s="47"/>
      <c r="AI421" s="47"/>
      <c r="AJ421" s="47"/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58"/>
      <c r="BD421" s="47"/>
      <c r="BE421" s="47"/>
      <c r="BF421" s="47"/>
      <c r="BG421" s="47"/>
      <c r="BH421" s="47"/>
      <c r="BI421" s="47"/>
      <c r="BJ421" s="47"/>
      <c r="BR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58"/>
      <c r="BD422" s="47"/>
      <c r="BE422" s="47"/>
      <c r="BF422" s="47"/>
      <c r="BG422" s="47"/>
      <c r="BH422" s="47"/>
      <c r="BI422" s="47"/>
      <c r="BJ422" s="47"/>
      <c r="BR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  <c r="AH423" s="47"/>
      <c r="AI423" s="47"/>
      <c r="AJ423" s="47"/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58"/>
      <c r="BD423" s="47"/>
      <c r="BE423" s="47"/>
      <c r="BF423" s="47"/>
      <c r="BG423" s="47"/>
      <c r="BH423" s="47"/>
      <c r="BI423" s="47"/>
      <c r="BJ423" s="47"/>
      <c r="BR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58"/>
      <c r="BD424" s="47"/>
      <c r="BE424" s="47"/>
      <c r="BF424" s="47"/>
      <c r="BG424" s="47"/>
      <c r="BH424" s="47"/>
      <c r="BI424" s="47"/>
      <c r="BJ424" s="47"/>
      <c r="BR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  <c r="AH425" s="47"/>
      <c r="AI425" s="47"/>
      <c r="AJ425" s="47"/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58"/>
      <c r="BD425" s="47"/>
      <c r="BE425" s="47"/>
      <c r="BF425" s="47"/>
      <c r="BG425" s="47"/>
      <c r="BH425" s="47"/>
      <c r="BI425" s="47"/>
      <c r="BJ425" s="47"/>
      <c r="BR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58"/>
      <c r="BD426" s="47"/>
      <c r="BE426" s="47"/>
      <c r="BF426" s="47"/>
      <c r="BG426" s="47"/>
      <c r="BH426" s="47"/>
      <c r="BI426" s="47"/>
      <c r="BJ426" s="47"/>
      <c r="BR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  <c r="AH427" s="47"/>
      <c r="AI427" s="47"/>
      <c r="AJ427" s="47"/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58"/>
      <c r="BD427" s="47"/>
      <c r="BE427" s="47"/>
      <c r="BF427" s="47"/>
      <c r="BG427" s="47"/>
      <c r="BH427" s="47"/>
      <c r="BI427" s="47"/>
      <c r="BJ427" s="47"/>
      <c r="BR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58"/>
      <c r="BD428" s="47"/>
      <c r="BE428" s="47"/>
      <c r="BF428" s="47"/>
      <c r="BG428" s="47"/>
      <c r="BH428" s="47"/>
      <c r="BI428" s="47"/>
      <c r="BJ428" s="47"/>
      <c r="BR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  <c r="AH429" s="47"/>
      <c r="AI429" s="47"/>
      <c r="AJ429" s="47"/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58"/>
      <c r="BD429" s="47"/>
      <c r="BE429" s="47"/>
      <c r="BF429" s="47"/>
      <c r="BG429" s="47"/>
      <c r="BH429" s="47"/>
      <c r="BI429" s="47"/>
      <c r="BJ429" s="47"/>
      <c r="BR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58"/>
      <c r="BD430" s="47"/>
      <c r="BE430" s="47"/>
      <c r="BF430" s="47"/>
      <c r="BG430" s="47"/>
      <c r="BH430" s="47"/>
      <c r="BI430" s="47"/>
      <c r="BJ430" s="47"/>
      <c r="BR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  <c r="AH431" s="47"/>
      <c r="AI431" s="47"/>
      <c r="AJ431" s="47"/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58"/>
      <c r="BD431" s="47"/>
      <c r="BE431" s="47"/>
      <c r="BF431" s="47"/>
      <c r="BG431" s="47"/>
      <c r="BH431" s="47"/>
      <c r="BI431" s="47"/>
      <c r="BJ431" s="47"/>
      <c r="BR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58"/>
      <c r="BD432" s="47"/>
      <c r="BE432" s="47"/>
      <c r="BF432" s="47"/>
      <c r="BG432" s="47"/>
      <c r="BH432" s="47"/>
      <c r="BI432" s="47"/>
      <c r="BJ432" s="47"/>
      <c r="BR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  <c r="AH433" s="47"/>
      <c r="AI433" s="47"/>
      <c r="AJ433" s="47"/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58"/>
      <c r="BD433" s="47"/>
      <c r="BE433" s="47"/>
      <c r="BF433" s="47"/>
      <c r="BG433" s="47"/>
      <c r="BH433" s="47"/>
      <c r="BI433" s="47"/>
      <c r="BJ433" s="47"/>
      <c r="BR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58"/>
      <c r="BD434" s="47"/>
      <c r="BE434" s="47"/>
      <c r="BF434" s="47"/>
      <c r="BG434" s="47"/>
      <c r="BH434" s="47"/>
      <c r="BI434" s="47"/>
      <c r="BJ434" s="47"/>
      <c r="BR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  <c r="AH435" s="47"/>
      <c r="AI435" s="47"/>
      <c r="AJ435" s="47"/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58"/>
      <c r="BD435" s="47"/>
      <c r="BE435" s="47"/>
      <c r="BF435" s="47"/>
      <c r="BG435" s="47"/>
      <c r="BH435" s="47"/>
      <c r="BI435" s="47"/>
      <c r="BJ435" s="47"/>
      <c r="BR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58"/>
      <c r="BD436" s="47"/>
      <c r="BE436" s="47"/>
      <c r="BF436" s="47"/>
      <c r="BG436" s="47"/>
      <c r="BH436" s="47"/>
      <c r="BI436" s="47"/>
      <c r="BJ436" s="47"/>
      <c r="BR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  <c r="AH437" s="47"/>
      <c r="AI437" s="47"/>
      <c r="AJ437" s="47"/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58"/>
      <c r="BD437" s="47"/>
      <c r="BE437" s="47"/>
      <c r="BF437" s="47"/>
      <c r="BG437" s="47"/>
      <c r="BH437" s="47"/>
      <c r="BI437" s="47"/>
      <c r="BJ437" s="47"/>
      <c r="BR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58"/>
      <c r="BD438" s="47"/>
      <c r="BE438" s="47"/>
      <c r="BF438" s="47"/>
      <c r="BG438" s="47"/>
      <c r="BH438" s="47"/>
      <c r="BI438" s="47"/>
      <c r="BJ438" s="47"/>
      <c r="BR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  <c r="AH439" s="47"/>
      <c r="AI439" s="47"/>
      <c r="AJ439" s="47"/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58"/>
      <c r="BD439" s="47"/>
      <c r="BE439" s="47"/>
      <c r="BF439" s="47"/>
      <c r="BG439" s="47"/>
      <c r="BH439" s="47"/>
      <c r="BI439" s="47"/>
      <c r="BJ439" s="47"/>
      <c r="BR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58"/>
      <c r="BD440" s="47"/>
      <c r="BE440" s="47"/>
      <c r="BF440" s="47"/>
      <c r="BG440" s="47"/>
      <c r="BH440" s="47"/>
      <c r="BI440" s="47"/>
      <c r="BJ440" s="47"/>
      <c r="BR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58"/>
      <c r="BD441" s="47"/>
      <c r="BE441" s="47"/>
      <c r="BF441" s="47"/>
      <c r="BG441" s="47"/>
      <c r="BH441" s="47"/>
      <c r="BI441" s="47"/>
      <c r="BJ441" s="47"/>
      <c r="BR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58"/>
      <c r="BD442" s="47"/>
      <c r="BE442" s="47"/>
      <c r="BF442" s="47"/>
      <c r="BG442" s="47"/>
      <c r="BH442" s="47"/>
      <c r="BI442" s="47"/>
      <c r="BJ442" s="47"/>
      <c r="BR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58"/>
      <c r="BD443" s="47"/>
      <c r="BE443" s="47"/>
      <c r="BF443" s="47"/>
      <c r="BG443" s="47"/>
      <c r="BH443" s="47"/>
      <c r="BI443" s="47"/>
      <c r="BJ443" s="47"/>
      <c r="BR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58"/>
      <c r="BD444" s="47"/>
      <c r="BE444" s="47"/>
      <c r="BF444" s="47"/>
      <c r="BG444" s="47"/>
      <c r="BH444" s="47"/>
      <c r="BI444" s="47"/>
      <c r="BJ444" s="47"/>
      <c r="BR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58"/>
      <c r="BD445" s="47"/>
      <c r="BE445" s="47"/>
      <c r="BF445" s="47"/>
      <c r="BG445" s="47"/>
      <c r="BH445" s="47"/>
      <c r="BI445" s="47"/>
      <c r="BJ445" s="47"/>
      <c r="BR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58"/>
      <c r="BD446" s="47"/>
      <c r="BE446" s="47"/>
      <c r="BF446" s="47"/>
      <c r="BG446" s="47"/>
      <c r="BH446" s="47"/>
      <c r="BI446" s="47"/>
      <c r="BJ446" s="47"/>
      <c r="BR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  <c r="AH447" s="47"/>
      <c r="AI447" s="47"/>
      <c r="AJ447" s="47"/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58"/>
      <c r="BD447" s="47"/>
      <c r="BE447" s="47"/>
      <c r="BF447" s="47"/>
      <c r="BG447" s="47"/>
      <c r="BH447" s="47"/>
      <c r="BI447" s="47"/>
      <c r="BJ447" s="47"/>
      <c r="BR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58"/>
      <c r="BD448" s="47"/>
      <c r="BE448" s="47"/>
      <c r="BF448" s="47"/>
      <c r="BG448" s="47"/>
      <c r="BH448" s="47"/>
      <c r="BI448" s="47"/>
      <c r="BJ448" s="47"/>
      <c r="BR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  <c r="AH449" s="47"/>
      <c r="AI449" s="47"/>
      <c r="AJ449" s="47"/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58"/>
      <c r="BD449" s="47"/>
      <c r="BE449" s="47"/>
      <c r="BF449" s="47"/>
      <c r="BG449" s="47"/>
      <c r="BH449" s="47"/>
      <c r="BI449" s="47"/>
      <c r="BJ449" s="47"/>
      <c r="BR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58"/>
      <c r="BD450" s="47"/>
      <c r="BE450" s="47"/>
      <c r="BF450" s="47"/>
      <c r="BG450" s="47"/>
      <c r="BH450" s="47"/>
      <c r="BI450" s="47"/>
      <c r="BJ450" s="47"/>
      <c r="BR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  <c r="AH451" s="47"/>
      <c r="AI451" s="47"/>
      <c r="AJ451" s="47"/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58"/>
      <c r="BD451" s="47"/>
      <c r="BE451" s="47"/>
      <c r="BF451" s="47"/>
      <c r="BG451" s="47"/>
      <c r="BH451" s="47"/>
      <c r="BI451" s="47"/>
      <c r="BJ451" s="47"/>
      <c r="BR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58"/>
      <c r="BD452" s="47"/>
      <c r="BE452" s="47"/>
      <c r="BF452" s="47"/>
      <c r="BG452" s="47"/>
      <c r="BH452" s="47"/>
      <c r="BI452" s="47"/>
      <c r="BJ452" s="47"/>
      <c r="BR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47"/>
      <c r="AI453" s="47"/>
      <c r="AJ453" s="47"/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58"/>
      <c r="BD453" s="47"/>
      <c r="BE453" s="47"/>
      <c r="BF453" s="47"/>
      <c r="BG453" s="47"/>
      <c r="BH453" s="47"/>
      <c r="BI453" s="47"/>
      <c r="BJ453" s="47"/>
      <c r="BR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58"/>
      <c r="BD454" s="47"/>
      <c r="BE454" s="47"/>
      <c r="BF454" s="47"/>
      <c r="BG454" s="47"/>
      <c r="BH454" s="47"/>
      <c r="BI454" s="47"/>
      <c r="BJ454" s="47"/>
      <c r="BR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58"/>
      <c r="BD455" s="47"/>
      <c r="BE455" s="47"/>
      <c r="BF455" s="47"/>
      <c r="BG455" s="47"/>
      <c r="BH455" s="47"/>
      <c r="BI455" s="47"/>
      <c r="BJ455" s="47"/>
      <c r="BR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58"/>
      <c r="BD456" s="47"/>
      <c r="BE456" s="47"/>
      <c r="BF456" s="47"/>
      <c r="BG456" s="47"/>
      <c r="BH456" s="47"/>
      <c r="BI456" s="47"/>
      <c r="BJ456" s="47"/>
      <c r="BR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47"/>
      <c r="AI457" s="47"/>
      <c r="AJ457" s="47"/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58"/>
      <c r="BD457" s="47"/>
      <c r="BE457" s="47"/>
      <c r="BF457" s="47"/>
      <c r="BG457" s="47"/>
      <c r="BH457" s="47"/>
      <c r="BI457" s="47"/>
      <c r="BJ457" s="47"/>
      <c r="BR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58"/>
      <c r="BD458" s="47"/>
      <c r="BE458" s="47"/>
      <c r="BF458" s="47"/>
      <c r="BG458" s="47"/>
      <c r="BH458" s="47"/>
      <c r="BI458" s="47"/>
      <c r="BJ458" s="47"/>
      <c r="BR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47"/>
      <c r="AI459" s="47"/>
      <c r="AJ459" s="47"/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58"/>
      <c r="BD459" s="47"/>
      <c r="BE459" s="47"/>
      <c r="BF459" s="47"/>
      <c r="BG459" s="47"/>
      <c r="BH459" s="47"/>
      <c r="BI459" s="47"/>
      <c r="BJ459" s="47"/>
      <c r="BR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58"/>
      <c r="BD460" s="47"/>
      <c r="BE460" s="47"/>
      <c r="BF460" s="47"/>
      <c r="BG460" s="47"/>
      <c r="BH460" s="47"/>
      <c r="BI460" s="47"/>
      <c r="BJ460" s="47"/>
      <c r="BR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47"/>
      <c r="AI461" s="47"/>
      <c r="AJ461" s="47"/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58"/>
      <c r="BD461" s="47"/>
      <c r="BE461" s="47"/>
      <c r="BF461" s="47"/>
      <c r="BG461" s="47"/>
      <c r="BH461" s="47"/>
      <c r="BI461" s="47"/>
      <c r="BJ461" s="47"/>
      <c r="BR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58"/>
      <c r="BD462" s="47"/>
      <c r="BE462" s="47"/>
      <c r="BF462" s="47"/>
      <c r="BG462" s="47"/>
      <c r="BH462" s="47"/>
      <c r="BI462" s="47"/>
      <c r="BJ462" s="47"/>
      <c r="BR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47"/>
      <c r="AI463" s="47"/>
      <c r="AJ463" s="47"/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58"/>
      <c r="BD463" s="47"/>
      <c r="BE463" s="47"/>
      <c r="BF463" s="47"/>
      <c r="BG463" s="47"/>
      <c r="BH463" s="47"/>
      <c r="BI463" s="47"/>
      <c r="BJ463" s="47"/>
      <c r="BR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58"/>
      <c r="BD464" s="47"/>
      <c r="BE464" s="47"/>
      <c r="BF464" s="47"/>
      <c r="BG464" s="47"/>
      <c r="BH464" s="47"/>
      <c r="BI464" s="47"/>
      <c r="BJ464" s="47"/>
      <c r="BR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47"/>
      <c r="AI465" s="47"/>
      <c r="AJ465" s="47"/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58"/>
      <c r="BD465" s="47"/>
      <c r="BE465" s="47"/>
      <c r="BF465" s="47"/>
      <c r="BG465" s="47"/>
      <c r="BH465" s="47"/>
      <c r="BI465" s="47"/>
      <c r="BJ465" s="47"/>
      <c r="BR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58"/>
      <c r="BD466" s="47"/>
      <c r="BE466" s="47"/>
      <c r="BF466" s="47"/>
      <c r="BG466" s="47"/>
      <c r="BH466" s="47"/>
      <c r="BI466" s="47"/>
      <c r="BJ466" s="47"/>
      <c r="BR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47"/>
      <c r="AI467" s="47"/>
      <c r="AJ467" s="47"/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58"/>
      <c r="BD467" s="47"/>
      <c r="BE467" s="47"/>
      <c r="BF467" s="47"/>
      <c r="BG467" s="47"/>
      <c r="BH467" s="47"/>
      <c r="BI467" s="47"/>
      <c r="BJ467" s="47"/>
      <c r="BR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58"/>
      <c r="BD468" s="47"/>
      <c r="BE468" s="47"/>
      <c r="BF468" s="47"/>
      <c r="BG468" s="47"/>
      <c r="BH468" s="47"/>
      <c r="BI468" s="47"/>
      <c r="BJ468" s="47"/>
      <c r="BR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58"/>
      <c r="BD469" s="47"/>
      <c r="BE469" s="47"/>
      <c r="BF469" s="47"/>
      <c r="BG469" s="47"/>
      <c r="BH469" s="47"/>
      <c r="BI469" s="47"/>
      <c r="BJ469" s="47"/>
      <c r="BR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58"/>
      <c r="BD470" s="47"/>
      <c r="BE470" s="47"/>
      <c r="BF470" s="47"/>
      <c r="BG470" s="47"/>
      <c r="BH470" s="47"/>
      <c r="BI470" s="47"/>
      <c r="BJ470" s="47"/>
      <c r="BR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47"/>
      <c r="AI471" s="47"/>
      <c r="AJ471" s="47"/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58"/>
      <c r="BD471" s="47"/>
      <c r="BE471" s="47"/>
      <c r="BF471" s="47"/>
      <c r="BG471" s="47"/>
      <c r="BH471" s="47"/>
      <c r="BI471" s="47"/>
      <c r="BJ471" s="47"/>
      <c r="BR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58"/>
      <c r="BD472" s="47"/>
      <c r="BE472" s="47"/>
      <c r="BF472" s="47"/>
      <c r="BG472" s="47"/>
      <c r="BH472" s="47"/>
      <c r="BI472" s="47"/>
      <c r="BJ472" s="47"/>
      <c r="BR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47"/>
      <c r="AI473" s="47"/>
      <c r="AJ473" s="47"/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58"/>
      <c r="BD473" s="47"/>
      <c r="BE473" s="47"/>
      <c r="BF473" s="47"/>
      <c r="BG473" s="47"/>
      <c r="BH473" s="47"/>
      <c r="BI473" s="47"/>
      <c r="BJ473" s="47"/>
      <c r="BR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58"/>
      <c r="BD474" s="47"/>
      <c r="BE474" s="47"/>
      <c r="BF474" s="47"/>
      <c r="BG474" s="47"/>
      <c r="BH474" s="47"/>
      <c r="BI474" s="47"/>
      <c r="BJ474" s="47"/>
      <c r="BR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47"/>
      <c r="AI475" s="47"/>
      <c r="AJ475" s="47"/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58"/>
      <c r="BD475" s="47"/>
      <c r="BE475" s="47"/>
      <c r="BF475" s="47"/>
      <c r="BG475" s="47"/>
      <c r="BH475" s="47"/>
      <c r="BI475" s="47"/>
      <c r="BJ475" s="47"/>
      <c r="BR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58"/>
      <c r="BD476" s="47"/>
      <c r="BE476" s="47"/>
      <c r="BF476" s="47"/>
      <c r="BG476" s="47"/>
      <c r="BH476" s="47"/>
      <c r="BI476" s="47"/>
      <c r="BJ476" s="47"/>
      <c r="BR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  <c r="AH477" s="47"/>
      <c r="AI477" s="47"/>
      <c r="AJ477" s="47"/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58"/>
      <c r="BD477" s="47"/>
      <c r="BE477" s="47"/>
      <c r="BF477" s="47"/>
      <c r="BG477" s="47"/>
      <c r="BH477" s="47"/>
      <c r="BI477" s="47"/>
      <c r="BJ477" s="47"/>
      <c r="BR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58"/>
      <c r="BD478" s="47"/>
      <c r="BE478" s="47"/>
      <c r="BF478" s="47"/>
      <c r="BG478" s="47"/>
      <c r="BH478" s="47"/>
      <c r="BI478" s="47"/>
      <c r="BJ478" s="47"/>
      <c r="BR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58"/>
      <c r="BD479" s="47"/>
      <c r="BE479" s="47"/>
      <c r="BF479" s="47"/>
      <c r="BG479" s="47"/>
      <c r="BH479" s="47"/>
      <c r="BI479" s="47"/>
      <c r="BJ479" s="47"/>
      <c r="BR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58"/>
      <c r="BD480" s="47"/>
      <c r="BE480" s="47"/>
      <c r="BF480" s="47"/>
      <c r="BG480" s="47"/>
      <c r="BH480" s="47"/>
      <c r="BI480" s="47"/>
      <c r="BJ480" s="47"/>
      <c r="BR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  <c r="AH481" s="47"/>
      <c r="AI481" s="47"/>
      <c r="AJ481" s="47"/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58"/>
      <c r="BD481" s="47"/>
      <c r="BE481" s="47"/>
      <c r="BF481" s="47"/>
      <c r="BG481" s="47"/>
      <c r="BH481" s="47"/>
      <c r="BI481" s="47"/>
      <c r="BJ481" s="47"/>
      <c r="BR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58"/>
      <c r="BD482" s="47"/>
      <c r="BE482" s="47"/>
      <c r="BF482" s="47"/>
      <c r="BG482" s="47"/>
      <c r="BH482" s="47"/>
      <c r="BI482" s="47"/>
      <c r="BJ482" s="47"/>
      <c r="BR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  <c r="AH483" s="47"/>
      <c r="AI483" s="47"/>
      <c r="AJ483" s="47"/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58"/>
      <c r="BD483" s="47"/>
      <c r="BE483" s="47"/>
      <c r="BF483" s="47"/>
      <c r="BG483" s="47"/>
      <c r="BH483" s="47"/>
      <c r="BI483" s="47"/>
      <c r="BJ483" s="47"/>
      <c r="BR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58"/>
      <c r="BD484" s="47"/>
      <c r="BE484" s="47"/>
      <c r="BF484" s="47"/>
      <c r="BG484" s="47"/>
      <c r="BH484" s="47"/>
      <c r="BI484" s="47"/>
      <c r="BJ484" s="47"/>
      <c r="BR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  <c r="AH485" s="47"/>
      <c r="AI485" s="47"/>
      <c r="AJ485" s="47"/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58"/>
      <c r="BD485" s="47"/>
      <c r="BE485" s="47"/>
      <c r="BF485" s="47"/>
      <c r="BG485" s="47"/>
      <c r="BH485" s="47"/>
      <c r="BI485" s="47"/>
      <c r="BJ485" s="47"/>
      <c r="BR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58"/>
      <c r="BD486" s="47"/>
      <c r="BE486" s="47"/>
      <c r="BF486" s="47"/>
      <c r="BG486" s="47"/>
      <c r="BH486" s="47"/>
      <c r="BI486" s="47"/>
      <c r="BJ486" s="47"/>
      <c r="BR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  <c r="AH487" s="47"/>
      <c r="AI487" s="47"/>
      <c r="AJ487" s="47"/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58"/>
      <c r="BD487" s="47"/>
      <c r="BE487" s="47"/>
      <c r="BF487" s="47"/>
      <c r="BG487" s="47"/>
      <c r="BH487" s="47"/>
      <c r="BI487" s="47"/>
      <c r="BJ487" s="47"/>
      <c r="BR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58"/>
      <c r="BD488" s="47"/>
      <c r="BE488" s="47"/>
      <c r="BF488" s="47"/>
      <c r="BG488" s="47"/>
      <c r="BH488" s="47"/>
      <c r="BI488" s="47"/>
      <c r="BJ488" s="47"/>
      <c r="BR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  <c r="AH489" s="47"/>
      <c r="AI489" s="47"/>
      <c r="AJ489" s="47"/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58"/>
      <c r="BD489" s="47"/>
      <c r="BE489" s="47"/>
      <c r="BF489" s="47"/>
      <c r="BG489" s="47"/>
      <c r="BH489" s="47"/>
      <c r="BI489" s="47"/>
      <c r="BJ489" s="47"/>
      <c r="BR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58"/>
      <c r="BD490" s="47"/>
      <c r="BE490" s="47"/>
      <c r="BF490" s="47"/>
      <c r="BG490" s="47"/>
      <c r="BH490" s="47"/>
      <c r="BI490" s="47"/>
      <c r="BJ490" s="47"/>
      <c r="BR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  <c r="AH491" s="47"/>
      <c r="AI491" s="47"/>
      <c r="AJ491" s="47"/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58"/>
      <c r="BD491" s="47"/>
      <c r="BE491" s="47"/>
      <c r="BF491" s="47"/>
      <c r="BG491" s="47"/>
      <c r="BH491" s="47"/>
      <c r="BI491" s="47"/>
      <c r="BJ491" s="47"/>
      <c r="BR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58"/>
      <c r="BD492" s="47"/>
      <c r="BE492" s="47"/>
      <c r="BF492" s="47"/>
      <c r="BG492" s="47"/>
      <c r="BH492" s="47"/>
      <c r="BI492" s="47"/>
      <c r="BJ492" s="47"/>
      <c r="BR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  <c r="AH493" s="47"/>
      <c r="AI493" s="47"/>
      <c r="AJ493" s="47"/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58"/>
      <c r="BD493" s="47"/>
      <c r="BE493" s="47"/>
      <c r="BF493" s="47"/>
      <c r="BG493" s="47"/>
      <c r="BH493" s="47"/>
      <c r="BI493" s="47"/>
      <c r="BJ493" s="47"/>
      <c r="BR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58"/>
      <c r="BD494" s="47"/>
      <c r="BE494" s="47"/>
      <c r="BF494" s="47"/>
      <c r="BG494" s="47"/>
      <c r="BH494" s="47"/>
      <c r="BI494" s="47"/>
      <c r="BJ494" s="47"/>
      <c r="BR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  <c r="AH495" s="47"/>
      <c r="AI495" s="47"/>
      <c r="AJ495" s="47"/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58"/>
      <c r="BD495" s="47"/>
      <c r="BE495" s="47"/>
      <c r="BF495" s="47"/>
      <c r="BG495" s="47"/>
      <c r="BH495" s="47"/>
      <c r="BI495" s="47"/>
      <c r="BJ495" s="47"/>
      <c r="BR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58"/>
      <c r="BD496" s="47"/>
      <c r="BE496" s="47"/>
      <c r="BF496" s="47"/>
      <c r="BG496" s="47"/>
      <c r="BH496" s="47"/>
      <c r="BI496" s="47"/>
      <c r="BJ496" s="47"/>
      <c r="BR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  <c r="AH497" s="47"/>
      <c r="AI497" s="47"/>
      <c r="AJ497" s="47"/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58"/>
      <c r="BD497" s="47"/>
      <c r="BE497" s="47"/>
      <c r="BF497" s="47"/>
      <c r="BG497" s="47"/>
      <c r="BH497" s="47"/>
      <c r="BI497" s="47"/>
      <c r="BJ497" s="47"/>
      <c r="BR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58"/>
      <c r="BD498" s="47"/>
      <c r="BE498" s="47"/>
      <c r="BF498" s="47"/>
      <c r="BG498" s="47"/>
      <c r="BH498" s="47"/>
      <c r="BI498" s="47"/>
      <c r="BJ498" s="47"/>
      <c r="BR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  <c r="AH499" s="47"/>
      <c r="AI499" s="47"/>
      <c r="AJ499" s="47"/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58"/>
      <c r="BD499" s="47"/>
      <c r="BE499" s="47"/>
      <c r="BF499" s="47"/>
      <c r="BG499" s="47"/>
      <c r="BH499" s="47"/>
      <c r="BI499" s="47"/>
      <c r="BJ499" s="47"/>
      <c r="BR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58"/>
      <c r="BD500" s="47"/>
      <c r="BE500" s="47"/>
      <c r="BF500" s="47"/>
      <c r="BG500" s="47"/>
      <c r="BH500" s="47"/>
      <c r="BI500" s="47"/>
      <c r="BJ500" s="47"/>
      <c r="BR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  <c r="AH501" s="47"/>
      <c r="AI501" s="47"/>
      <c r="AJ501" s="47"/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58"/>
      <c r="BD501" s="47"/>
      <c r="BE501" s="47"/>
      <c r="BF501" s="47"/>
      <c r="BG501" s="47"/>
      <c r="BH501" s="47"/>
      <c r="BI501" s="47"/>
      <c r="BJ501" s="47"/>
      <c r="BR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58"/>
      <c r="BD502" s="47"/>
      <c r="BE502" s="47"/>
      <c r="BF502" s="47"/>
      <c r="BG502" s="47"/>
      <c r="BH502" s="47"/>
      <c r="BI502" s="47"/>
      <c r="BJ502" s="47"/>
      <c r="BR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  <c r="AH503" s="47"/>
      <c r="AI503" s="47"/>
      <c r="AJ503" s="47"/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58"/>
      <c r="BD503" s="47"/>
      <c r="BE503" s="47"/>
      <c r="BF503" s="47"/>
      <c r="BG503" s="47"/>
      <c r="BH503" s="47"/>
      <c r="BI503" s="47"/>
      <c r="BJ503" s="47"/>
      <c r="BR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58"/>
      <c r="BD504" s="47"/>
      <c r="BE504" s="47"/>
      <c r="BF504" s="47"/>
      <c r="BG504" s="47"/>
      <c r="BH504" s="47"/>
      <c r="BI504" s="47"/>
      <c r="BJ504" s="47"/>
      <c r="BR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  <c r="AH505" s="47"/>
      <c r="AI505" s="47"/>
      <c r="AJ505" s="47"/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58"/>
      <c r="BD505" s="47"/>
      <c r="BE505" s="47"/>
      <c r="BF505" s="47"/>
      <c r="BG505" s="47"/>
      <c r="BH505" s="47"/>
      <c r="BI505" s="47"/>
      <c r="BJ505" s="47"/>
      <c r="BR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58"/>
      <c r="BD506" s="47"/>
      <c r="BE506" s="47"/>
      <c r="BF506" s="47"/>
      <c r="BG506" s="47"/>
      <c r="BH506" s="47"/>
      <c r="BI506" s="47"/>
      <c r="BJ506" s="47"/>
      <c r="BR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58"/>
      <c r="BD507" s="47"/>
      <c r="BE507" s="47"/>
      <c r="BF507" s="47"/>
      <c r="BG507" s="47"/>
      <c r="BH507" s="47"/>
      <c r="BI507" s="47"/>
      <c r="BJ507" s="47"/>
      <c r="BR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58"/>
      <c r="BD508" s="47"/>
      <c r="BE508" s="47"/>
      <c r="BF508" s="47"/>
      <c r="BG508" s="47"/>
      <c r="BH508" s="47"/>
      <c r="BI508" s="47"/>
      <c r="BJ508" s="47"/>
      <c r="BR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  <c r="AH509" s="47"/>
      <c r="AI509" s="47"/>
      <c r="AJ509" s="47"/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58"/>
      <c r="BD509" s="47"/>
      <c r="BE509" s="47"/>
      <c r="BF509" s="47"/>
      <c r="BG509" s="47"/>
      <c r="BH509" s="47"/>
      <c r="BI509" s="47"/>
      <c r="BJ509" s="47"/>
      <c r="BR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58"/>
      <c r="BD510" s="47"/>
      <c r="BE510" s="47"/>
      <c r="BF510" s="47"/>
      <c r="BG510" s="47"/>
      <c r="BH510" s="47"/>
      <c r="BI510" s="47"/>
      <c r="BJ510" s="47"/>
      <c r="BR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  <c r="AH511" s="47"/>
      <c r="AI511" s="47"/>
      <c r="AJ511" s="47"/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58"/>
      <c r="BD511" s="47"/>
      <c r="BE511" s="47"/>
      <c r="BF511" s="47"/>
      <c r="BG511" s="47"/>
      <c r="BH511" s="47"/>
      <c r="BI511" s="47"/>
      <c r="BJ511" s="47"/>
      <c r="BR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58"/>
      <c r="BD512" s="47"/>
      <c r="BE512" s="47"/>
      <c r="BF512" s="47"/>
      <c r="BG512" s="47"/>
      <c r="BH512" s="47"/>
      <c r="BI512" s="47"/>
      <c r="BJ512" s="47"/>
      <c r="BR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58"/>
      <c r="BD513" s="47"/>
      <c r="BE513" s="47"/>
      <c r="BF513" s="47"/>
      <c r="BG513" s="47"/>
      <c r="BH513" s="47"/>
      <c r="BI513" s="47"/>
      <c r="BJ513" s="47"/>
      <c r="BR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58"/>
      <c r="BD514" s="47"/>
      <c r="BE514" s="47"/>
      <c r="BF514" s="47"/>
      <c r="BG514" s="47"/>
      <c r="BH514" s="47"/>
      <c r="BI514" s="47"/>
      <c r="BJ514" s="47"/>
      <c r="BR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58"/>
      <c r="BD515" s="47"/>
      <c r="BE515" s="47"/>
      <c r="BF515" s="47"/>
      <c r="BG515" s="47"/>
      <c r="BH515" s="47"/>
      <c r="BI515" s="47"/>
      <c r="BJ515" s="47"/>
      <c r="BR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58"/>
      <c r="BD516" s="47"/>
      <c r="BE516" s="47"/>
      <c r="BF516" s="47"/>
      <c r="BG516" s="47"/>
      <c r="BH516" s="47"/>
      <c r="BI516" s="47"/>
      <c r="BJ516" s="47"/>
      <c r="BR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47"/>
      <c r="AI517" s="47"/>
      <c r="AJ517" s="47"/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58"/>
      <c r="BD517" s="47"/>
      <c r="BE517" s="47"/>
      <c r="BF517" s="47"/>
      <c r="BG517" s="47"/>
      <c r="BH517" s="47"/>
      <c r="BI517" s="47"/>
      <c r="BJ517" s="47"/>
      <c r="BR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58"/>
      <c r="BD518" s="47"/>
      <c r="BE518" s="47"/>
      <c r="BF518" s="47"/>
      <c r="BG518" s="47"/>
      <c r="BH518" s="47"/>
      <c r="BI518" s="47"/>
      <c r="BJ518" s="47"/>
      <c r="BR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47"/>
      <c r="AI519" s="47"/>
      <c r="AJ519" s="47"/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58"/>
      <c r="BD519" s="47"/>
      <c r="BE519" s="47"/>
      <c r="BF519" s="47"/>
      <c r="BG519" s="47"/>
      <c r="BH519" s="47"/>
      <c r="BI519" s="47"/>
      <c r="BJ519" s="47"/>
      <c r="BR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58"/>
      <c r="BD520" s="47"/>
      <c r="BE520" s="47"/>
      <c r="BF520" s="47"/>
      <c r="BG520" s="47"/>
      <c r="BH520" s="47"/>
      <c r="BI520" s="47"/>
      <c r="BJ520" s="47"/>
      <c r="BR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47"/>
      <c r="AI521" s="47"/>
      <c r="AJ521" s="47"/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58"/>
      <c r="BD521" s="47"/>
      <c r="BE521" s="47"/>
      <c r="BF521" s="47"/>
      <c r="BG521" s="47"/>
      <c r="BH521" s="47"/>
      <c r="BI521" s="47"/>
      <c r="BJ521" s="47"/>
      <c r="BR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47"/>
      <c r="AI522" s="47"/>
      <c r="AJ522" s="47"/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58"/>
      <c r="BD522" s="47"/>
      <c r="BE522" s="47"/>
      <c r="BF522" s="47"/>
      <c r="BG522" s="47"/>
      <c r="BH522" s="47"/>
      <c r="BI522" s="47"/>
      <c r="BJ522" s="47"/>
      <c r="BR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47"/>
      <c r="AI523" s="47"/>
      <c r="AJ523" s="47"/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58"/>
      <c r="BD523" s="47"/>
      <c r="BE523" s="47"/>
      <c r="BF523" s="47"/>
      <c r="BG523" s="47"/>
      <c r="BH523" s="47"/>
      <c r="BI523" s="47"/>
      <c r="BJ523" s="47"/>
      <c r="BR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58"/>
      <c r="BD524" s="47"/>
      <c r="BE524" s="47"/>
      <c r="BF524" s="47"/>
      <c r="BG524" s="47"/>
      <c r="BH524" s="47"/>
      <c r="BI524" s="47"/>
      <c r="BJ524" s="47"/>
      <c r="BR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47"/>
      <c r="AI525" s="47"/>
      <c r="AJ525" s="47"/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58"/>
      <c r="BD525" s="47"/>
      <c r="BE525" s="47"/>
      <c r="BF525" s="47"/>
      <c r="BG525" s="47"/>
      <c r="BH525" s="47"/>
      <c r="BI525" s="47"/>
      <c r="BJ525" s="47"/>
      <c r="BR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58"/>
      <c r="BD526" s="47"/>
      <c r="BE526" s="47"/>
      <c r="BF526" s="47"/>
      <c r="BG526" s="47"/>
      <c r="BH526" s="47"/>
      <c r="BI526" s="47"/>
      <c r="BJ526" s="47"/>
      <c r="BR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47"/>
      <c r="AI527" s="47"/>
      <c r="AJ527" s="47"/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58"/>
      <c r="BD527" s="47"/>
      <c r="BE527" s="47"/>
      <c r="BF527" s="47"/>
      <c r="BG527" s="47"/>
      <c r="BH527" s="47"/>
      <c r="BI527" s="47"/>
      <c r="BJ527" s="47"/>
      <c r="BR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58"/>
      <c r="BD528" s="47"/>
      <c r="BE528" s="47"/>
      <c r="BF528" s="47"/>
      <c r="BG528" s="47"/>
      <c r="BH528" s="47"/>
      <c r="BI528" s="47"/>
      <c r="BJ528" s="47"/>
      <c r="BR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47"/>
      <c r="AI529" s="47"/>
      <c r="AJ529" s="47"/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58"/>
      <c r="BD529" s="47"/>
      <c r="BE529" s="47"/>
      <c r="BF529" s="47"/>
      <c r="BG529" s="47"/>
      <c r="BH529" s="47"/>
      <c r="BI529" s="47"/>
      <c r="BJ529" s="47"/>
      <c r="BR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58"/>
      <c r="BD530" s="47"/>
      <c r="BE530" s="47"/>
      <c r="BF530" s="47"/>
      <c r="BG530" s="47"/>
      <c r="BH530" s="47"/>
      <c r="BI530" s="47"/>
      <c r="BJ530" s="47"/>
      <c r="BR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47"/>
      <c r="AI531" s="47"/>
      <c r="AJ531" s="47"/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58"/>
      <c r="BD531" s="47"/>
      <c r="BE531" s="47"/>
      <c r="BF531" s="47"/>
      <c r="BG531" s="47"/>
      <c r="BH531" s="47"/>
      <c r="BI531" s="47"/>
      <c r="BJ531" s="47"/>
      <c r="BR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58"/>
      <c r="BD532" s="47"/>
      <c r="BE532" s="47"/>
      <c r="BF532" s="47"/>
      <c r="BG532" s="47"/>
      <c r="BH532" s="47"/>
      <c r="BI532" s="47"/>
      <c r="BJ532" s="47"/>
      <c r="BR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47"/>
      <c r="AI533" s="47"/>
      <c r="AJ533" s="47"/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58"/>
      <c r="BD533" s="47"/>
      <c r="BE533" s="47"/>
      <c r="BF533" s="47"/>
      <c r="BG533" s="47"/>
      <c r="BH533" s="47"/>
      <c r="BI533" s="47"/>
      <c r="BJ533" s="47"/>
      <c r="BR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58"/>
      <c r="BD534" s="47"/>
      <c r="BE534" s="47"/>
      <c r="BF534" s="47"/>
      <c r="BG534" s="47"/>
      <c r="BH534" s="47"/>
      <c r="BI534" s="47"/>
      <c r="BJ534" s="47"/>
      <c r="BR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47"/>
      <c r="AI535" s="47"/>
      <c r="AJ535" s="47"/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58"/>
      <c r="BD535" s="47"/>
      <c r="BE535" s="47"/>
      <c r="BF535" s="47"/>
      <c r="BG535" s="47"/>
      <c r="BH535" s="47"/>
      <c r="BI535" s="47"/>
      <c r="BJ535" s="47"/>
      <c r="BR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58"/>
      <c r="BD536" s="47"/>
      <c r="BE536" s="47"/>
      <c r="BF536" s="47"/>
      <c r="BG536" s="47"/>
      <c r="BH536" s="47"/>
      <c r="BI536" s="47"/>
      <c r="BJ536" s="47"/>
      <c r="BR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47"/>
      <c r="AI537" s="47"/>
      <c r="AJ537" s="47"/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58"/>
      <c r="BD537" s="47"/>
      <c r="BE537" s="47"/>
      <c r="BF537" s="47"/>
      <c r="BG537" s="47"/>
      <c r="BH537" s="47"/>
      <c r="BI537" s="47"/>
      <c r="BJ537" s="47"/>
      <c r="BR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58"/>
      <c r="BD538" s="47"/>
      <c r="BE538" s="47"/>
      <c r="BF538" s="47"/>
      <c r="BG538" s="47"/>
      <c r="BH538" s="47"/>
      <c r="BI538" s="47"/>
      <c r="BJ538" s="47"/>
      <c r="BR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47"/>
      <c r="AI539" s="47"/>
      <c r="AJ539" s="47"/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58"/>
      <c r="BD539" s="47"/>
      <c r="BE539" s="47"/>
      <c r="BF539" s="47"/>
      <c r="BG539" s="47"/>
      <c r="BH539" s="47"/>
      <c r="BI539" s="47"/>
      <c r="BJ539" s="47"/>
      <c r="BR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58"/>
      <c r="BD540" s="47"/>
      <c r="BE540" s="47"/>
      <c r="BF540" s="47"/>
      <c r="BG540" s="47"/>
      <c r="BH540" s="47"/>
      <c r="BI540" s="47"/>
      <c r="BJ540" s="47"/>
      <c r="BR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  <c r="AH541" s="47"/>
      <c r="AI541" s="47"/>
      <c r="AJ541" s="47"/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58"/>
      <c r="BD541" s="47"/>
      <c r="BE541" s="47"/>
      <c r="BF541" s="47"/>
      <c r="BG541" s="47"/>
      <c r="BH541" s="47"/>
      <c r="BI541" s="47"/>
      <c r="BJ541" s="47"/>
      <c r="BR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58"/>
      <c r="BD542" s="47"/>
      <c r="BE542" s="47"/>
      <c r="BF542" s="47"/>
      <c r="BG542" s="47"/>
      <c r="BH542" s="47"/>
      <c r="BI542" s="47"/>
      <c r="BJ542" s="47"/>
      <c r="BR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  <c r="AH543" s="47"/>
      <c r="AI543" s="47"/>
      <c r="AJ543" s="47"/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58"/>
      <c r="BD543" s="47"/>
      <c r="BE543" s="47"/>
      <c r="BF543" s="47"/>
      <c r="BG543" s="47"/>
      <c r="BH543" s="47"/>
      <c r="BI543" s="47"/>
      <c r="BJ543" s="47"/>
      <c r="BR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58"/>
      <c r="BD544" s="47"/>
      <c r="BE544" s="47"/>
      <c r="BF544" s="47"/>
      <c r="BG544" s="47"/>
      <c r="BH544" s="47"/>
      <c r="BI544" s="47"/>
      <c r="BJ544" s="47"/>
      <c r="BR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  <c r="AH545" s="47"/>
      <c r="AI545" s="47"/>
      <c r="AJ545" s="47"/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58"/>
      <c r="BD545" s="47"/>
      <c r="BE545" s="47"/>
      <c r="BF545" s="47"/>
      <c r="BG545" s="47"/>
      <c r="BH545" s="47"/>
      <c r="BI545" s="47"/>
      <c r="BJ545" s="47"/>
      <c r="BR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58"/>
      <c r="BD546" s="47"/>
      <c r="BE546" s="47"/>
      <c r="BF546" s="47"/>
      <c r="BG546" s="47"/>
      <c r="BH546" s="47"/>
      <c r="BI546" s="47"/>
      <c r="BJ546" s="47"/>
      <c r="BR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  <c r="AH547" s="47"/>
      <c r="AI547" s="47"/>
      <c r="AJ547" s="47"/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58"/>
      <c r="BD547" s="47"/>
      <c r="BE547" s="47"/>
      <c r="BF547" s="47"/>
      <c r="BG547" s="47"/>
      <c r="BH547" s="47"/>
      <c r="BI547" s="47"/>
      <c r="BJ547" s="47"/>
      <c r="BR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58"/>
      <c r="BD548" s="47"/>
      <c r="BE548" s="47"/>
      <c r="BF548" s="47"/>
      <c r="BG548" s="47"/>
      <c r="BH548" s="47"/>
      <c r="BI548" s="47"/>
      <c r="BJ548" s="47"/>
      <c r="BR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  <c r="AH549" s="47"/>
      <c r="AI549" s="47"/>
      <c r="AJ549" s="47"/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58"/>
      <c r="BD549" s="47"/>
      <c r="BE549" s="47"/>
      <c r="BF549" s="47"/>
      <c r="BG549" s="47"/>
      <c r="BH549" s="47"/>
      <c r="BI549" s="47"/>
      <c r="BJ549" s="47"/>
      <c r="BR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58"/>
      <c r="BD550" s="47"/>
      <c r="BE550" s="47"/>
      <c r="BF550" s="47"/>
      <c r="BG550" s="47"/>
      <c r="BH550" s="47"/>
      <c r="BI550" s="47"/>
      <c r="BJ550" s="47"/>
      <c r="BR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  <c r="AH551" s="47"/>
      <c r="AI551" s="47"/>
      <c r="AJ551" s="47"/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58"/>
      <c r="BD551" s="47"/>
      <c r="BE551" s="47"/>
      <c r="BF551" s="47"/>
      <c r="BG551" s="47"/>
      <c r="BH551" s="47"/>
      <c r="BI551" s="47"/>
      <c r="BJ551" s="47"/>
      <c r="BR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58"/>
      <c r="BD552" s="47"/>
      <c r="BE552" s="47"/>
      <c r="BF552" s="47"/>
      <c r="BG552" s="47"/>
      <c r="BH552" s="47"/>
      <c r="BI552" s="47"/>
      <c r="BJ552" s="47"/>
      <c r="BR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  <c r="AH553" s="47"/>
      <c r="AI553" s="47"/>
      <c r="AJ553" s="47"/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58"/>
      <c r="BD553" s="47"/>
      <c r="BE553" s="47"/>
      <c r="BF553" s="47"/>
      <c r="BG553" s="47"/>
      <c r="BH553" s="47"/>
      <c r="BI553" s="47"/>
      <c r="BJ553" s="47"/>
      <c r="BR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58"/>
      <c r="BD554" s="47"/>
      <c r="BE554" s="47"/>
      <c r="BF554" s="47"/>
      <c r="BG554" s="47"/>
      <c r="BH554" s="47"/>
      <c r="BI554" s="47"/>
      <c r="BJ554" s="47"/>
      <c r="BR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  <c r="AH555" s="47"/>
      <c r="AI555" s="47"/>
      <c r="AJ555" s="47"/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58"/>
      <c r="BD555" s="47"/>
      <c r="BE555" s="47"/>
      <c r="BF555" s="47"/>
      <c r="BG555" s="47"/>
      <c r="BH555" s="47"/>
      <c r="BI555" s="47"/>
      <c r="BJ555" s="47"/>
      <c r="BR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58"/>
      <c r="BD556" s="47"/>
      <c r="BE556" s="47"/>
      <c r="BF556" s="47"/>
      <c r="BG556" s="47"/>
      <c r="BH556" s="47"/>
      <c r="BI556" s="47"/>
      <c r="BJ556" s="47"/>
      <c r="BR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  <c r="AH557" s="47"/>
      <c r="AI557" s="47"/>
      <c r="AJ557" s="47"/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58"/>
      <c r="BD557" s="47"/>
      <c r="BE557" s="47"/>
      <c r="BF557" s="47"/>
      <c r="BG557" s="47"/>
      <c r="BH557" s="47"/>
      <c r="BI557" s="47"/>
      <c r="BJ557" s="47"/>
      <c r="BR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58"/>
      <c r="BD558" s="47"/>
      <c r="BE558" s="47"/>
      <c r="BF558" s="47"/>
      <c r="BG558" s="47"/>
      <c r="BH558" s="47"/>
      <c r="BI558" s="47"/>
      <c r="BJ558" s="47"/>
      <c r="BR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  <c r="AH559" s="47"/>
      <c r="AI559" s="47"/>
      <c r="AJ559" s="47"/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58"/>
      <c r="BD559" s="47"/>
      <c r="BE559" s="47"/>
      <c r="BF559" s="47"/>
      <c r="BG559" s="47"/>
      <c r="BH559" s="47"/>
      <c r="BI559" s="47"/>
      <c r="BJ559" s="47"/>
      <c r="BR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58"/>
      <c r="BD560" s="47"/>
      <c r="BE560" s="47"/>
      <c r="BF560" s="47"/>
      <c r="BG560" s="47"/>
      <c r="BH560" s="47"/>
      <c r="BI560" s="47"/>
      <c r="BJ560" s="47"/>
      <c r="BR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  <c r="AH561" s="47"/>
      <c r="AI561" s="47"/>
      <c r="AJ561" s="47"/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58"/>
      <c r="BD561" s="47"/>
      <c r="BE561" s="47"/>
      <c r="BF561" s="47"/>
      <c r="BG561" s="47"/>
      <c r="BH561" s="47"/>
      <c r="BI561" s="47"/>
      <c r="BJ561" s="47"/>
      <c r="BR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58"/>
      <c r="BD562" s="47"/>
      <c r="BE562" s="47"/>
      <c r="BF562" s="47"/>
      <c r="BG562" s="47"/>
      <c r="BH562" s="47"/>
      <c r="BI562" s="47"/>
      <c r="BJ562" s="47"/>
      <c r="BR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  <c r="AH563" s="47"/>
      <c r="AI563" s="47"/>
      <c r="AJ563" s="47"/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58"/>
      <c r="BD563" s="47"/>
      <c r="BE563" s="47"/>
      <c r="BF563" s="47"/>
      <c r="BG563" s="47"/>
      <c r="BH563" s="47"/>
      <c r="BI563" s="47"/>
      <c r="BJ563" s="47"/>
      <c r="BR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58"/>
      <c r="BD564" s="47"/>
      <c r="BE564" s="47"/>
      <c r="BF564" s="47"/>
      <c r="BG564" s="47"/>
      <c r="BH564" s="47"/>
      <c r="BI564" s="47"/>
      <c r="BJ564" s="47"/>
      <c r="BR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  <c r="AH565" s="47"/>
      <c r="AI565" s="47"/>
      <c r="AJ565" s="47"/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58"/>
      <c r="BD565" s="47"/>
      <c r="BE565" s="47"/>
      <c r="BF565" s="47"/>
      <c r="BG565" s="47"/>
      <c r="BH565" s="47"/>
      <c r="BI565" s="47"/>
      <c r="BJ565" s="47"/>
      <c r="BR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58"/>
      <c r="BD566" s="47"/>
      <c r="BE566" s="47"/>
      <c r="BF566" s="47"/>
      <c r="BG566" s="47"/>
      <c r="BH566" s="47"/>
      <c r="BI566" s="47"/>
      <c r="BJ566" s="47"/>
      <c r="BR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  <c r="AH567" s="47"/>
      <c r="AI567" s="47"/>
      <c r="AJ567" s="47"/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58"/>
      <c r="BD567" s="47"/>
      <c r="BE567" s="47"/>
      <c r="BF567" s="47"/>
      <c r="BG567" s="47"/>
      <c r="BH567" s="47"/>
      <c r="BI567" s="47"/>
      <c r="BJ567" s="47"/>
      <c r="BR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58"/>
      <c r="BD568" s="47"/>
      <c r="BE568" s="47"/>
      <c r="BF568" s="47"/>
      <c r="BG568" s="47"/>
      <c r="BH568" s="47"/>
      <c r="BI568" s="47"/>
      <c r="BJ568" s="47"/>
      <c r="BR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  <c r="AH569" s="47"/>
      <c r="AI569" s="47"/>
      <c r="AJ569" s="47"/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58"/>
      <c r="BD569" s="47"/>
      <c r="BE569" s="47"/>
      <c r="BF569" s="47"/>
      <c r="BG569" s="47"/>
      <c r="BH569" s="47"/>
      <c r="BI569" s="47"/>
      <c r="BJ569" s="47"/>
      <c r="BR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58"/>
      <c r="BD570" s="47"/>
      <c r="BE570" s="47"/>
      <c r="BF570" s="47"/>
      <c r="BG570" s="47"/>
      <c r="BH570" s="47"/>
      <c r="BI570" s="47"/>
      <c r="BJ570" s="47"/>
      <c r="BR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58"/>
      <c r="BD571" s="47"/>
      <c r="BE571" s="47"/>
      <c r="BF571" s="47"/>
      <c r="BG571" s="47"/>
      <c r="BH571" s="47"/>
      <c r="BI571" s="47"/>
      <c r="BJ571" s="47"/>
      <c r="BR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58"/>
      <c r="BD572" s="47"/>
      <c r="BE572" s="47"/>
      <c r="BF572" s="47"/>
      <c r="BG572" s="47"/>
      <c r="BH572" s="47"/>
      <c r="BI572" s="47"/>
      <c r="BJ572" s="47"/>
      <c r="BR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  <c r="AH573" s="47"/>
      <c r="AI573" s="47"/>
      <c r="AJ573" s="47"/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58"/>
      <c r="BD573" s="47"/>
      <c r="BE573" s="47"/>
      <c r="BF573" s="47"/>
      <c r="BG573" s="47"/>
      <c r="BH573" s="47"/>
      <c r="BI573" s="47"/>
      <c r="BJ573" s="47"/>
      <c r="BR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58"/>
      <c r="BD574" s="47"/>
      <c r="BE574" s="47"/>
      <c r="BF574" s="47"/>
      <c r="BG574" s="47"/>
      <c r="BH574" s="47"/>
      <c r="BI574" s="47"/>
      <c r="BJ574" s="47"/>
      <c r="BR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  <c r="AH575" s="47"/>
      <c r="AI575" s="47"/>
      <c r="AJ575" s="47"/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58"/>
      <c r="BD575" s="47"/>
      <c r="BE575" s="47"/>
      <c r="BF575" s="47"/>
      <c r="BG575" s="47"/>
      <c r="BH575" s="47"/>
      <c r="BI575" s="47"/>
      <c r="BJ575" s="47"/>
      <c r="BR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58"/>
      <c r="BD576" s="47"/>
      <c r="BE576" s="47"/>
      <c r="BF576" s="47"/>
      <c r="BG576" s="47"/>
      <c r="BH576" s="47"/>
      <c r="BI576" s="47"/>
      <c r="BJ576" s="47"/>
      <c r="BR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  <c r="AH577" s="47"/>
      <c r="AI577" s="47"/>
      <c r="AJ577" s="47"/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58"/>
      <c r="BD577" s="47"/>
      <c r="BE577" s="47"/>
      <c r="BF577" s="47"/>
      <c r="BG577" s="47"/>
      <c r="BH577" s="47"/>
      <c r="BI577" s="47"/>
      <c r="BJ577" s="47"/>
      <c r="BR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58"/>
      <c r="BD578" s="47"/>
      <c r="BE578" s="47"/>
      <c r="BF578" s="47"/>
      <c r="BG578" s="47"/>
      <c r="BH578" s="47"/>
      <c r="BI578" s="47"/>
      <c r="BJ578" s="47"/>
      <c r="BR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  <c r="AH579" s="47"/>
      <c r="AI579" s="47"/>
      <c r="AJ579" s="47"/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58"/>
      <c r="BD579" s="47"/>
      <c r="BE579" s="47"/>
      <c r="BF579" s="47"/>
      <c r="BG579" s="47"/>
      <c r="BH579" s="47"/>
      <c r="BI579" s="47"/>
      <c r="BJ579" s="47"/>
      <c r="BR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58"/>
      <c r="BD580" s="47"/>
      <c r="BE580" s="47"/>
      <c r="BF580" s="47"/>
      <c r="BG580" s="47"/>
      <c r="BH580" s="47"/>
      <c r="BI580" s="47"/>
      <c r="BJ580" s="47"/>
      <c r="BR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47"/>
      <c r="AI581" s="47"/>
      <c r="AJ581" s="47"/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58"/>
      <c r="BD581" s="47"/>
      <c r="BE581" s="47"/>
      <c r="BF581" s="47"/>
      <c r="BG581" s="47"/>
      <c r="BH581" s="47"/>
      <c r="BI581" s="47"/>
      <c r="BJ581" s="47"/>
      <c r="BR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58"/>
      <c r="BD582" s="47"/>
      <c r="BE582" s="47"/>
      <c r="BF582" s="47"/>
      <c r="BG582" s="47"/>
      <c r="BH582" s="47"/>
      <c r="BI582" s="47"/>
      <c r="BJ582" s="47"/>
      <c r="BR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47"/>
      <c r="AI583" s="47"/>
      <c r="AJ583" s="47"/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58"/>
      <c r="BD583" s="47"/>
      <c r="BE583" s="47"/>
      <c r="BF583" s="47"/>
      <c r="BG583" s="47"/>
      <c r="BH583" s="47"/>
      <c r="BI583" s="47"/>
      <c r="BJ583" s="47"/>
      <c r="BR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58"/>
      <c r="BD584" s="47"/>
      <c r="BE584" s="47"/>
      <c r="BF584" s="47"/>
      <c r="BG584" s="47"/>
      <c r="BH584" s="47"/>
      <c r="BI584" s="47"/>
      <c r="BJ584" s="47"/>
      <c r="BR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47"/>
      <c r="AI585" s="47"/>
      <c r="AJ585" s="47"/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58"/>
      <c r="BD585" s="47"/>
      <c r="BE585" s="47"/>
      <c r="BF585" s="47"/>
      <c r="BG585" s="47"/>
      <c r="BH585" s="47"/>
      <c r="BI585" s="47"/>
      <c r="BJ585" s="47"/>
      <c r="BR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58"/>
      <c r="BD586" s="47"/>
      <c r="BE586" s="47"/>
      <c r="BF586" s="47"/>
      <c r="BG586" s="47"/>
      <c r="BH586" s="47"/>
      <c r="BI586" s="47"/>
      <c r="BJ586" s="47"/>
      <c r="BR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47"/>
      <c r="AI587" s="47"/>
      <c r="AJ587" s="47"/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58"/>
      <c r="BD587" s="47"/>
      <c r="BE587" s="47"/>
      <c r="BF587" s="47"/>
      <c r="BG587" s="47"/>
      <c r="BH587" s="47"/>
      <c r="BI587" s="47"/>
      <c r="BJ587" s="47"/>
      <c r="BR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58"/>
      <c r="BD588" s="47"/>
      <c r="BE588" s="47"/>
      <c r="BF588" s="47"/>
      <c r="BG588" s="47"/>
      <c r="BH588" s="47"/>
      <c r="BI588" s="47"/>
      <c r="BJ588" s="47"/>
      <c r="BR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47"/>
      <c r="AI589" s="47"/>
      <c r="AJ589" s="47"/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58"/>
      <c r="BD589" s="47"/>
      <c r="BE589" s="47"/>
      <c r="BF589" s="47"/>
      <c r="BG589" s="47"/>
      <c r="BH589" s="47"/>
      <c r="BI589" s="47"/>
      <c r="BJ589" s="47"/>
      <c r="BR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58"/>
      <c r="BD590" s="47"/>
      <c r="BE590" s="47"/>
      <c r="BF590" s="47"/>
      <c r="BG590" s="47"/>
      <c r="BH590" s="47"/>
      <c r="BI590" s="47"/>
      <c r="BJ590" s="47"/>
      <c r="BR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47"/>
      <c r="AI591" s="47"/>
      <c r="AJ591" s="47"/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58"/>
      <c r="BD591" s="47"/>
      <c r="BE591" s="47"/>
      <c r="BF591" s="47"/>
      <c r="BG591" s="47"/>
      <c r="BH591" s="47"/>
      <c r="BI591" s="47"/>
      <c r="BJ591" s="47"/>
      <c r="BR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58"/>
      <c r="BD592" s="47"/>
      <c r="BE592" s="47"/>
      <c r="BF592" s="47"/>
      <c r="BG592" s="47"/>
      <c r="BH592" s="47"/>
      <c r="BI592" s="47"/>
      <c r="BJ592" s="47"/>
      <c r="BR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47"/>
      <c r="AI593" s="47"/>
      <c r="AJ593" s="47"/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58"/>
      <c r="BD593" s="47"/>
      <c r="BE593" s="47"/>
      <c r="BF593" s="47"/>
      <c r="BG593" s="47"/>
      <c r="BH593" s="47"/>
      <c r="BI593" s="47"/>
      <c r="BJ593" s="47"/>
      <c r="BR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58"/>
      <c r="BD594" s="47"/>
      <c r="BE594" s="47"/>
      <c r="BF594" s="47"/>
      <c r="BG594" s="47"/>
      <c r="BH594" s="47"/>
      <c r="BI594" s="47"/>
      <c r="BJ594" s="47"/>
      <c r="BR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47"/>
      <c r="AI595" s="47"/>
      <c r="AJ595" s="47"/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58"/>
      <c r="BD595" s="47"/>
      <c r="BE595" s="47"/>
      <c r="BF595" s="47"/>
      <c r="BG595" s="47"/>
      <c r="BH595" s="47"/>
      <c r="BI595" s="47"/>
      <c r="BJ595" s="47"/>
      <c r="BR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58"/>
      <c r="BD596" s="47"/>
      <c r="BE596" s="47"/>
      <c r="BF596" s="47"/>
      <c r="BG596" s="47"/>
      <c r="BH596" s="47"/>
      <c r="BI596" s="47"/>
      <c r="BJ596" s="47"/>
      <c r="BR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47"/>
      <c r="AI597" s="47"/>
      <c r="AJ597" s="47"/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58"/>
      <c r="BD597" s="47"/>
      <c r="BE597" s="47"/>
      <c r="BF597" s="47"/>
      <c r="BG597" s="47"/>
      <c r="BH597" s="47"/>
      <c r="BI597" s="47"/>
      <c r="BJ597" s="47"/>
      <c r="BR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58"/>
      <c r="BD598" s="47"/>
      <c r="BE598" s="47"/>
      <c r="BF598" s="47"/>
      <c r="BG598" s="47"/>
      <c r="BH598" s="47"/>
      <c r="BI598" s="47"/>
      <c r="BJ598" s="47"/>
      <c r="BR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47"/>
      <c r="AI599" s="47"/>
      <c r="AJ599" s="47"/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58"/>
      <c r="BD599" s="47"/>
      <c r="BE599" s="47"/>
      <c r="BF599" s="47"/>
      <c r="BG599" s="47"/>
      <c r="BH599" s="47"/>
      <c r="BI599" s="47"/>
      <c r="BJ599" s="47"/>
      <c r="BR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58"/>
      <c r="BD600" s="47"/>
      <c r="BE600" s="47"/>
      <c r="BF600" s="47"/>
      <c r="BG600" s="47"/>
      <c r="BH600" s="47"/>
      <c r="BI600" s="47"/>
      <c r="BJ600" s="47"/>
      <c r="BR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47"/>
      <c r="AI601" s="47"/>
      <c r="AJ601" s="47"/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58"/>
      <c r="BD601" s="47"/>
      <c r="BE601" s="47"/>
      <c r="BF601" s="47"/>
      <c r="BG601" s="47"/>
      <c r="BH601" s="47"/>
      <c r="BI601" s="47"/>
      <c r="BJ601" s="47"/>
      <c r="BR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58"/>
      <c r="BD602" s="47"/>
      <c r="BE602" s="47"/>
      <c r="BF602" s="47"/>
      <c r="BG602" s="47"/>
      <c r="BH602" s="47"/>
      <c r="BI602" s="47"/>
      <c r="BJ602" s="47"/>
      <c r="BR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47"/>
      <c r="AI603" s="47"/>
      <c r="AJ603" s="47"/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58"/>
      <c r="BD603" s="47"/>
      <c r="BE603" s="47"/>
      <c r="BF603" s="47"/>
      <c r="BG603" s="47"/>
      <c r="BH603" s="47"/>
      <c r="BI603" s="47"/>
      <c r="BJ603" s="47"/>
      <c r="BR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58"/>
      <c r="BD604" s="47"/>
      <c r="BE604" s="47"/>
      <c r="BF604" s="47"/>
      <c r="BG604" s="47"/>
      <c r="BH604" s="47"/>
      <c r="BI604" s="47"/>
      <c r="BJ604" s="47"/>
      <c r="BR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  <c r="AH605" s="47"/>
      <c r="AI605" s="47"/>
      <c r="AJ605" s="47"/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58"/>
      <c r="BD605" s="47"/>
      <c r="BE605" s="47"/>
      <c r="BF605" s="47"/>
      <c r="BG605" s="47"/>
      <c r="BH605" s="47"/>
      <c r="BI605" s="47"/>
      <c r="BJ605" s="47"/>
      <c r="BR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58"/>
      <c r="BD606" s="47"/>
      <c r="BE606" s="47"/>
      <c r="BF606" s="47"/>
      <c r="BG606" s="47"/>
      <c r="BH606" s="47"/>
      <c r="BI606" s="47"/>
      <c r="BJ606" s="47"/>
      <c r="BR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  <c r="AH607" s="47"/>
      <c r="AI607" s="47"/>
      <c r="AJ607" s="47"/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58"/>
      <c r="BD607" s="47"/>
      <c r="BE607" s="47"/>
      <c r="BF607" s="47"/>
      <c r="BG607" s="47"/>
      <c r="BH607" s="47"/>
      <c r="BI607" s="47"/>
      <c r="BJ607" s="47"/>
      <c r="BR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58"/>
      <c r="BD608" s="47"/>
      <c r="BE608" s="47"/>
      <c r="BF608" s="47"/>
      <c r="BG608" s="47"/>
      <c r="BH608" s="47"/>
      <c r="BI608" s="47"/>
      <c r="BJ608" s="47"/>
      <c r="BR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58"/>
      <c r="BD609" s="47"/>
      <c r="BE609" s="47"/>
      <c r="BF609" s="47"/>
      <c r="BG609" s="47"/>
      <c r="BH609" s="47"/>
      <c r="BI609" s="47"/>
      <c r="BJ609" s="47"/>
      <c r="BR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58"/>
      <c r="BD610" s="47"/>
      <c r="BE610" s="47"/>
      <c r="BF610" s="47"/>
      <c r="BG610" s="47"/>
      <c r="BH610" s="47"/>
      <c r="BI610" s="47"/>
      <c r="BJ610" s="47"/>
      <c r="BR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  <c r="AH611" s="47"/>
      <c r="AI611" s="47"/>
      <c r="AJ611" s="47"/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58"/>
      <c r="BD611" s="47"/>
      <c r="BE611" s="47"/>
      <c r="BF611" s="47"/>
      <c r="BG611" s="47"/>
      <c r="BH611" s="47"/>
      <c r="BI611" s="47"/>
      <c r="BJ611" s="47"/>
      <c r="BR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58"/>
      <c r="BD612" s="47"/>
      <c r="BE612" s="47"/>
      <c r="BF612" s="47"/>
      <c r="BG612" s="47"/>
      <c r="BH612" s="47"/>
      <c r="BI612" s="47"/>
      <c r="BJ612" s="47"/>
      <c r="BR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  <c r="AH613" s="47"/>
      <c r="AI613" s="47"/>
      <c r="AJ613" s="47"/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58"/>
      <c r="BD613" s="47"/>
      <c r="BE613" s="47"/>
      <c r="BF613" s="47"/>
      <c r="BG613" s="47"/>
      <c r="BH613" s="47"/>
      <c r="BI613" s="47"/>
      <c r="BJ613" s="47"/>
      <c r="BR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58"/>
      <c r="BD614" s="47"/>
      <c r="BE614" s="47"/>
      <c r="BF614" s="47"/>
      <c r="BG614" s="47"/>
      <c r="BH614" s="47"/>
      <c r="BI614" s="47"/>
      <c r="BJ614" s="47"/>
      <c r="BR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  <c r="AH615" s="47"/>
      <c r="AI615" s="47"/>
      <c r="AJ615" s="47"/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58"/>
      <c r="BD615" s="47"/>
      <c r="BE615" s="47"/>
      <c r="BF615" s="47"/>
      <c r="BG615" s="47"/>
      <c r="BH615" s="47"/>
      <c r="BI615" s="47"/>
      <c r="BJ615" s="47"/>
      <c r="BR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58"/>
      <c r="BD616" s="47"/>
      <c r="BE616" s="47"/>
      <c r="BF616" s="47"/>
      <c r="BG616" s="47"/>
      <c r="BH616" s="47"/>
      <c r="BI616" s="47"/>
      <c r="BJ616" s="47"/>
      <c r="BR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  <c r="AH617" s="47"/>
      <c r="AI617" s="47"/>
      <c r="AJ617" s="47"/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58"/>
      <c r="BD617" s="47"/>
      <c r="BE617" s="47"/>
      <c r="BF617" s="47"/>
      <c r="BG617" s="47"/>
      <c r="BH617" s="47"/>
      <c r="BI617" s="47"/>
      <c r="BJ617" s="47"/>
      <c r="BR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58"/>
      <c r="BD618" s="47"/>
      <c r="BE618" s="47"/>
      <c r="BF618" s="47"/>
      <c r="BG618" s="47"/>
      <c r="BH618" s="47"/>
      <c r="BI618" s="47"/>
      <c r="BJ618" s="47"/>
      <c r="BR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  <c r="AH619" s="47"/>
      <c r="AI619" s="47"/>
      <c r="AJ619" s="47"/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58"/>
      <c r="BD619" s="47"/>
      <c r="BE619" s="47"/>
      <c r="BF619" s="47"/>
      <c r="BG619" s="47"/>
      <c r="BH619" s="47"/>
      <c r="BI619" s="47"/>
      <c r="BJ619" s="47"/>
      <c r="BR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58"/>
      <c r="BD620" s="47"/>
      <c r="BE620" s="47"/>
      <c r="BF620" s="47"/>
      <c r="BG620" s="47"/>
      <c r="BH620" s="47"/>
      <c r="BI620" s="47"/>
      <c r="BJ620" s="47"/>
      <c r="BR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  <c r="AH621" s="47"/>
      <c r="AI621" s="47"/>
      <c r="AJ621" s="47"/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58"/>
      <c r="BD621" s="47"/>
      <c r="BE621" s="47"/>
      <c r="BF621" s="47"/>
      <c r="BG621" s="47"/>
      <c r="BH621" s="47"/>
      <c r="BI621" s="47"/>
      <c r="BJ621" s="47"/>
      <c r="BR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58"/>
      <c r="BD622" s="47"/>
      <c r="BE622" s="47"/>
      <c r="BF622" s="47"/>
      <c r="BG622" s="47"/>
      <c r="BH622" s="47"/>
      <c r="BI622" s="47"/>
      <c r="BJ622" s="47"/>
      <c r="BR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  <c r="AH623" s="47"/>
      <c r="AI623" s="47"/>
      <c r="AJ623" s="47"/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58"/>
      <c r="BD623" s="47"/>
      <c r="BE623" s="47"/>
      <c r="BF623" s="47"/>
      <c r="BG623" s="47"/>
      <c r="BH623" s="47"/>
      <c r="BI623" s="47"/>
      <c r="BJ623" s="47"/>
      <c r="BR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58"/>
      <c r="BD624" s="47"/>
      <c r="BE624" s="47"/>
      <c r="BF624" s="47"/>
      <c r="BG624" s="47"/>
      <c r="BH624" s="47"/>
      <c r="BI624" s="47"/>
      <c r="BJ624" s="47"/>
      <c r="BR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58"/>
      <c r="BD625" s="47"/>
      <c r="BE625" s="47"/>
      <c r="BF625" s="47"/>
      <c r="BG625" s="47"/>
      <c r="BH625" s="47"/>
      <c r="BI625" s="47"/>
      <c r="BJ625" s="47"/>
      <c r="BR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58"/>
      <c r="BD626" s="47"/>
      <c r="BE626" s="47"/>
      <c r="BF626" s="47"/>
      <c r="BG626" s="47"/>
      <c r="BH626" s="47"/>
      <c r="BI626" s="47"/>
      <c r="BJ626" s="47"/>
      <c r="BR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  <c r="AH627" s="47"/>
      <c r="AI627" s="47"/>
      <c r="AJ627" s="47"/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58"/>
      <c r="BD627" s="47"/>
      <c r="BE627" s="47"/>
      <c r="BF627" s="47"/>
      <c r="BG627" s="47"/>
      <c r="BH627" s="47"/>
      <c r="BI627" s="47"/>
      <c r="BJ627" s="47"/>
      <c r="BR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58"/>
      <c r="BD628" s="47"/>
      <c r="BE628" s="47"/>
      <c r="BF628" s="47"/>
      <c r="BG628" s="47"/>
      <c r="BH628" s="47"/>
      <c r="BI628" s="47"/>
      <c r="BJ628" s="47"/>
      <c r="BR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  <c r="AH629" s="47"/>
      <c r="AI629" s="47"/>
      <c r="AJ629" s="47"/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58"/>
      <c r="BD629" s="47"/>
      <c r="BE629" s="47"/>
      <c r="BF629" s="47"/>
      <c r="BG629" s="47"/>
      <c r="BH629" s="47"/>
      <c r="BI629" s="47"/>
      <c r="BJ629" s="47"/>
      <c r="BR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58"/>
      <c r="BD630" s="47"/>
      <c r="BE630" s="47"/>
      <c r="BF630" s="47"/>
      <c r="BG630" s="47"/>
      <c r="BH630" s="47"/>
      <c r="BI630" s="47"/>
      <c r="BJ630" s="47"/>
      <c r="BR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  <c r="AH631" s="47"/>
      <c r="AI631" s="47"/>
      <c r="AJ631" s="47"/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58"/>
      <c r="BD631" s="47"/>
      <c r="BE631" s="47"/>
      <c r="BF631" s="47"/>
      <c r="BG631" s="47"/>
      <c r="BH631" s="47"/>
      <c r="BI631" s="47"/>
      <c r="BJ631" s="47"/>
      <c r="BR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58"/>
      <c r="BD632" s="47"/>
      <c r="BE632" s="47"/>
      <c r="BF632" s="47"/>
      <c r="BG632" s="47"/>
      <c r="BH632" s="47"/>
      <c r="BI632" s="47"/>
      <c r="BJ632" s="47"/>
      <c r="BR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  <c r="AH633" s="47"/>
      <c r="AI633" s="47"/>
      <c r="AJ633" s="47"/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58"/>
      <c r="BD633" s="47"/>
      <c r="BE633" s="47"/>
      <c r="BF633" s="47"/>
      <c r="BG633" s="47"/>
      <c r="BH633" s="47"/>
      <c r="BI633" s="47"/>
      <c r="BJ633" s="47"/>
      <c r="BR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58"/>
      <c r="BD634" s="47"/>
      <c r="BE634" s="47"/>
      <c r="BF634" s="47"/>
      <c r="BG634" s="47"/>
      <c r="BH634" s="47"/>
      <c r="BI634" s="47"/>
      <c r="BJ634" s="47"/>
      <c r="BR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  <c r="AH635" s="47"/>
      <c r="AI635" s="47"/>
      <c r="AJ635" s="47"/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58"/>
      <c r="BD635" s="47"/>
      <c r="BE635" s="47"/>
      <c r="BF635" s="47"/>
      <c r="BG635" s="47"/>
      <c r="BH635" s="47"/>
      <c r="BI635" s="47"/>
      <c r="BJ635" s="47"/>
      <c r="BR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58"/>
      <c r="BD636" s="47"/>
      <c r="BE636" s="47"/>
      <c r="BF636" s="47"/>
      <c r="BG636" s="47"/>
      <c r="BH636" s="47"/>
      <c r="BI636" s="47"/>
      <c r="BJ636" s="47"/>
      <c r="BR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  <c r="AH637" s="47"/>
      <c r="AI637" s="47"/>
      <c r="AJ637" s="47"/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58"/>
      <c r="BD637" s="47"/>
      <c r="BE637" s="47"/>
      <c r="BF637" s="47"/>
      <c r="BG637" s="47"/>
      <c r="BH637" s="47"/>
      <c r="BI637" s="47"/>
      <c r="BJ637" s="47"/>
      <c r="BR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58"/>
      <c r="BD638" s="47"/>
      <c r="BE638" s="47"/>
      <c r="BF638" s="47"/>
      <c r="BG638" s="47"/>
      <c r="BH638" s="47"/>
      <c r="BI638" s="47"/>
      <c r="BJ638" s="47"/>
      <c r="BR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  <c r="AH639" s="47"/>
      <c r="AI639" s="47"/>
      <c r="AJ639" s="47"/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58"/>
      <c r="BD639" s="47"/>
      <c r="BE639" s="47"/>
      <c r="BF639" s="47"/>
      <c r="BG639" s="47"/>
      <c r="BH639" s="47"/>
      <c r="BI639" s="47"/>
      <c r="BJ639" s="47"/>
      <c r="BR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58"/>
      <c r="BD640" s="47"/>
      <c r="BE640" s="47"/>
      <c r="BF640" s="47"/>
      <c r="BG640" s="47"/>
      <c r="BH640" s="47"/>
      <c r="BI640" s="47"/>
      <c r="BJ640" s="47"/>
      <c r="BR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  <c r="AH641" s="47"/>
      <c r="AI641" s="47"/>
      <c r="AJ641" s="47"/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58"/>
      <c r="BD641" s="47"/>
      <c r="BE641" s="47"/>
      <c r="BF641" s="47"/>
      <c r="BG641" s="47"/>
      <c r="BH641" s="47"/>
      <c r="BI641" s="47"/>
      <c r="BJ641" s="47"/>
      <c r="BR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58"/>
      <c r="BD642" s="47"/>
      <c r="BE642" s="47"/>
      <c r="BF642" s="47"/>
      <c r="BG642" s="47"/>
      <c r="BH642" s="47"/>
      <c r="BI642" s="47"/>
      <c r="BJ642" s="47"/>
      <c r="BR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  <c r="AH643" s="47"/>
      <c r="AI643" s="47"/>
      <c r="AJ643" s="47"/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58"/>
      <c r="BD643" s="47"/>
      <c r="BE643" s="47"/>
      <c r="BF643" s="47"/>
      <c r="BG643" s="47"/>
      <c r="BH643" s="47"/>
      <c r="BI643" s="47"/>
      <c r="BJ643" s="47"/>
      <c r="BR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58"/>
      <c r="BD644" s="47"/>
      <c r="BE644" s="47"/>
      <c r="BF644" s="47"/>
      <c r="BG644" s="47"/>
      <c r="BH644" s="47"/>
      <c r="BI644" s="47"/>
      <c r="BJ644" s="47"/>
      <c r="BR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47"/>
      <c r="AI645" s="47"/>
      <c r="AJ645" s="47"/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58"/>
      <c r="BD645" s="47"/>
      <c r="BE645" s="47"/>
      <c r="BF645" s="47"/>
      <c r="BG645" s="47"/>
      <c r="BH645" s="47"/>
      <c r="BI645" s="47"/>
      <c r="BJ645" s="47"/>
      <c r="BR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58"/>
      <c r="BD646" s="47"/>
      <c r="BE646" s="47"/>
      <c r="BF646" s="47"/>
      <c r="BG646" s="47"/>
      <c r="BH646" s="47"/>
      <c r="BI646" s="47"/>
      <c r="BJ646" s="47"/>
      <c r="BR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47"/>
      <c r="AI647" s="47"/>
      <c r="AJ647" s="47"/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58"/>
      <c r="BD647" s="47"/>
      <c r="BE647" s="47"/>
      <c r="BF647" s="47"/>
      <c r="BG647" s="47"/>
      <c r="BH647" s="47"/>
      <c r="BI647" s="47"/>
      <c r="BJ647" s="47"/>
      <c r="BR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58"/>
      <c r="BD648" s="47"/>
      <c r="BE648" s="47"/>
      <c r="BF648" s="47"/>
      <c r="BG648" s="47"/>
      <c r="BH648" s="47"/>
      <c r="BI648" s="47"/>
      <c r="BJ648" s="47"/>
      <c r="BR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47"/>
      <c r="AI649" s="47"/>
      <c r="AJ649" s="47"/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58"/>
      <c r="BD649" s="47"/>
      <c r="BE649" s="47"/>
      <c r="BF649" s="47"/>
      <c r="BG649" s="47"/>
      <c r="BH649" s="47"/>
      <c r="BI649" s="47"/>
      <c r="BJ649" s="47"/>
      <c r="BR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58"/>
      <c r="BD650" s="47"/>
      <c r="BE650" s="47"/>
      <c r="BF650" s="47"/>
      <c r="BG650" s="47"/>
      <c r="BH650" s="47"/>
      <c r="BI650" s="47"/>
      <c r="BJ650" s="47"/>
      <c r="BR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47"/>
      <c r="AI651" s="47"/>
      <c r="AJ651" s="47"/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58"/>
      <c r="BD651" s="47"/>
      <c r="BE651" s="47"/>
      <c r="BF651" s="47"/>
      <c r="BG651" s="47"/>
      <c r="BH651" s="47"/>
      <c r="BI651" s="47"/>
      <c r="BJ651" s="47"/>
      <c r="BR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58"/>
      <c r="BD652" s="47"/>
      <c r="BE652" s="47"/>
      <c r="BF652" s="47"/>
      <c r="BG652" s="47"/>
      <c r="BH652" s="47"/>
      <c r="BI652" s="47"/>
      <c r="BJ652" s="47"/>
      <c r="BR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47"/>
      <c r="AI653" s="47"/>
      <c r="AJ653" s="47"/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58"/>
      <c r="BD653" s="47"/>
      <c r="BE653" s="47"/>
      <c r="BF653" s="47"/>
      <c r="BG653" s="47"/>
      <c r="BH653" s="47"/>
      <c r="BI653" s="47"/>
      <c r="BJ653" s="47"/>
      <c r="BR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58"/>
      <c r="BD654" s="47"/>
      <c r="BE654" s="47"/>
      <c r="BF654" s="47"/>
      <c r="BG654" s="47"/>
      <c r="BH654" s="47"/>
      <c r="BI654" s="47"/>
      <c r="BJ654" s="47"/>
      <c r="BR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47"/>
      <c r="AI655" s="47"/>
      <c r="AJ655" s="47"/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58"/>
      <c r="BD655" s="47"/>
      <c r="BE655" s="47"/>
      <c r="BF655" s="47"/>
      <c r="BG655" s="47"/>
      <c r="BH655" s="47"/>
      <c r="BI655" s="47"/>
      <c r="BJ655" s="47"/>
      <c r="BR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58"/>
      <c r="BD656" s="47"/>
      <c r="BE656" s="47"/>
      <c r="BF656" s="47"/>
      <c r="BG656" s="47"/>
      <c r="BH656" s="47"/>
      <c r="BI656" s="47"/>
      <c r="BJ656" s="47"/>
      <c r="BR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47"/>
      <c r="AI657" s="47"/>
      <c r="AJ657" s="47"/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58"/>
      <c r="BD657" s="47"/>
      <c r="BE657" s="47"/>
      <c r="BF657" s="47"/>
      <c r="BG657" s="47"/>
      <c r="BH657" s="47"/>
      <c r="BI657" s="47"/>
      <c r="BJ657" s="47"/>
      <c r="BR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58"/>
      <c r="BD658" s="47"/>
      <c r="BE658" s="47"/>
      <c r="BF658" s="47"/>
      <c r="BG658" s="47"/>
      <c r="BH658" s="47"/>
      <c r="BI658" s="47"/>
      <c r="BJ658" s="47"/>
      <c r="BR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47"/>
      <c r="AI659" s="47"/>
      <c r="AJ659" s="47"/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58"/>
      <c r="BD659" s="47"/>
      <c r="BE659" s="47"/>
      <c r="BF659" s="47"/>
      <c r="BG659" s="47"/>
      <c r="BH659" s="47"/>
      <c r="BI659" s="47"/>
      <c r="BJ659" s="47"/>
      <c r="BR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58"/>
      <c r="BD660" s="47"/>
      <c r="BE660" s="47"/>
      <c r="BF660" s="47"/>
      <c r="BG660" s="47"/>
      <c r="BH660" s="47"/>
      <c r="BI660" s="47"/>
      <c r="BJ660" s="47"/>
      <c r="BR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47"/>
      <c r="AI661" s="47"/>
      <c r="AJ661" s="47"/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58"/>
      <c r="BD661" s="47"/>
      <c r="BE661" s="47"/>
      <c r="BF661" s="47"/>
      <c r="BG661" s="47"/>
      <c r="BH661" s="47"/>
      <c r="BI661" s="47"/>
      <c r="BJ661" s="47"/>
      <c r="BR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58"/>
      <c r="BD662" s="47"/>
      <c r="BE662" s="47"/>
      <c r="BF662" s="47"/>
      <c r="BG662" s="47"/>
      <c r="BH662" s="47"/>
      <c r="BI662" s="47"/>
      <c r="BJ662" s="47"/>
      <c r="BR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47"/>
      <c r="AI663" s="47"/>
      <c r="AJ663" s="47"/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58"/>
      <c r="BD663" s="47"/>
      <c r="BE663" s="47"/>
      <c r="BF663" s="47"/>
      <c r="BG663" s="47"/>
      <c r="BH663" s="47"/>
      <c r="BI663" s="47"/>
      <c r="BJ663" s="47"/>
      <c r="BR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58"/>
      <c r="BD664" s="47"/>
      <c r="BE664" s="47"/>
      <c r="BF664" s="47"/>
      <c r="BG664" s="47"/>
      <c r="BH664" s="47"/>
      <c r="BI664" s="47"/>
      <c r="BJ664" s="47"/>
      <c r="BR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47"/>
      <c r="AI665" s="47"/>
      <c r="AJ665" s="47"/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58"/>
      <c r="BD665" s="47"/>
      <c r="BE665" s="47"/>
      <c r="BF665" s="47"/>
      <c r="BG665" s="47"/>
      <c r="BH665" s="47"/>
      <c r="BI665" s="47"/>
      <c r="BJ665" s="47"/>
      <c r="BR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58"/>
      <c r="BD666" s="47"/>
      <c r="BE666" s="47"/>
      <c r="BF666" s="47"/>
      <c r="BG666" s="47"/>
      <c r="BH666" s="47"/>
      <c r="BI666" s="47"/>
      <c r="BJ666" s="47"/>
      <c r="BR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47"/>
      <c r="AI667" s="47"/>
      <c r="AJ667" s="47"/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58"/>
      <c r="BD667" s="47"/>
      <c r="BE667" s="47"/>
      <c r="BF667" s="47"/>
      <c r="BG667" s="47"/>
      <c r="BH667" s="47"/>
      <c r="BI667" s="47"/>
      <c r="BJ667" s="47"/>
      <c r="BR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58"/>
      <c r="BD668" s="47"/>
      <c r="BE668" s="47"/>
      <c r="BF668" s="47"/>
      <c r="BG668" s="47"/>
      <c r="BH668" s="47"/>
      <c r="BI668" s="47"/>
      <c r="BJ668" s="47"/>
      <c r="BR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  <c r="AH669" s="47"/>
      <c r="AI669" s="47"/>
      <c r="AJ669" s="47"/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58"/>
      <c r="BD669" s="47"/>
      <c r="BE669" s="47"/>
      <c r="BF669" s="47"/>
      <c r="BG669" s="47"/>
      <c r="BH669" s="47"/>
      <c r="BI669" s="47"/>
      <c r="BJ669" s="47"/>
      <c r="BR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58"/>
      <c r="BD670" s="47"/>
      <c r="BE670" s="47"/>
      <c r="BF670" s="47"/>
      <c r="BG670" s="47"/>
      <c r="BH670" s="47"/>
      <c r="BI670" s="47"/>
      <c r="BJ670" s="47"/>
      <c r="BR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  <c r="AH671" s="47"/>
      <c r="AI671" s="47"/>
      <c r="AJ671" s="47"/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58"/>
      <c r="BD671" s="47"/>
      <c r="BE671" s="47"/>
      <c r="BF671" s="47"/>
      <c r="BG671" s="47"/>
      <c r="BH671" s="47"/>
      <c r="BI671" s="47"/>
      <c r="BJ671" s="47"/>
      <c r="BR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58"/>
      <c r="BD672" s="47"/>
      <c r="BE672" s="47"/>
      <c r="BF672" s="47"/>
      <c r="BG672" s="47"/>
      <c r="BH672" s="47"/>
      <c r="BI672" s="47"/>
      <c r="BJ672" s="47"/>
      <c r="BR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  <c r="AH673" s="47"/>
      <c r="AI673" s="47"/>
      <c r="AJ673" s="47"/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58"/>
      <c r="BD673" s="47"/>
      <c r="BE673" s="47"/>
      <c r="BF673" s="47"/>
      <c r="BG673" s="47"/>
      <c r="BH673" s="47"/>
      <c r="BI673" s="47"/>
      <c r="BJ673" s="47"/>
      <c r="BR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58"/>
      <c r="BD674" s="47"/>
      <c r="BE674" s="47"/>
      <c r="BF674" s="47"/>
      <c r="BG674" s="47"/>
      <c r="BH674" s="47"/>
      <c r="BI674" s="47"/>
      <c r="BJ674" s="47"/>
      <c r="BR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  <c r="AH675" s="47"/>
      <c r="AI675" s="47"/>
      <c r="AJ675" s="47"/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58"/>
      <c r="BD675" s="47"/>
      <c r="BE675" s="47"/>
      <c r="BF675" s="47"/>
      <c r="BG675" s="47"/>
      <c r="BH675" s="47"/>
      <c r="BI675" s="47"/>
      <c r="BJ675" s="47"/>
      <c r="BR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58"/>
      <c r="BD676" s="47"/>
      <c r="BE676" s="47"/>
      <c r="BF676" s="47"/>
      <c r="BG676" s="47"/>
      <c r="BH676" s="47"/>
      <c r="BI676" s="47"/>
      <c r="BJ676" s="47"/>
      <c r="BR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  <c r="AH677" s="47"/>
      <c r="AI677" s="47"/>
      <c r="AJ677" s="47"/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58"/>
      <c r="BD677" s="47"/>
      <c r="BE677" s="47"/>
      <c r="BF677" s="47"/>
      <c r="BG677" s="47"/>
      <c r="BH677" s="47"/>
      <c r="BI677" s="47"/>
      <c r="BJ677" s="47"/>
      <c r="BR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58"/>
      <c r="BD678" s="47"/>
      <c r="BE678" s="47"/>
      <c r="BF678" s="47"/>
      <c r="BG678" s="47"/>
      <c r="BH678" s="47"/>
      <c r="BI678" s="47"/>
      <c r="BJ678" s="47"/>
      <c r="BR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  <c r="AH679" s="47"/>
      <c r="AI679" s="47"/>
      <c r="AJ679" s="47"/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58"/>
      <c r="BD679" s="47"/>
      <c r="BE679" s="47"/>
      <c r="BF679" s="47"/>
      <c r="BG679" s="47"/>
      <c r="BH679" s="47"/>
      <c r="BI679" s="47"/>
      <c r="BJ679" s="47"/>
      <c r="BR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58"/>
      <c r="BD680" s="47"/>
      <c r="BE680" s="47"/>
      <c r="BF680" s="47"/>
      <c r="BG680" s="47"/>
      <c r="BH680" s="47"/>
      <c r="BI680" s="47"/>
      <c r="BJ680" s="47"/>
      <c r="BR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  <c r="AH681" s="47"/>
      <c r="AI681" s="47"/>
      <c r="AJ681" s="47"/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58"/>
      <c r="BD681" s="47"/>
      <c r="BE681" s="47"/>
      <c r="BF681" s="47"/>
      <c r="BG681" s="47"/>
      <c r="BH681" s="47"/>
      <c r="BI681" s="47"/>
      <c r="BJ681" s="47"/>
      <c r="BR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58"/>
      <c r="BD682" s="47"/>
      <c r="BE682" s="47"/>
      <c r="BF682" s="47"/>
      <c r="BG682" s="47"/>
      <c r="BH682" s="47"/>
      <c r="BI682" s="47"/>
      <c r="BJ682" s="47"/>
      <c r="BR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  <c r="AH683" s="47"/>
      <c r="AI683" s="47"/>
      <c r="AJ683" s="47"/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58"/>
      <c r="BD683" s="47"/>
      <c r="BE683" s="47"/>
      <c r="BF683" s="47"/>
      <c r="BG683" s="47"/>
      <c r="BH683" s="47"/>
      <c r="BI683" s="47"/>
      <c r="BJ683" s="47"/>
      <c r="BR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58"/>
      <c r="BD684" s="47"/>
      <c r="BE684" s="47"/>
      <c r="BF684" s="47"/>
      <c r="BG684" s="47"/>
      <c r="BH684" s="47"/>
      <c r="BI684" s="47"/>
      <c r="BJ684" s="47"/>
      <c r="BR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  <c r="AH685" s="47"/>
      <c r="AI685" s="47"/>
      <c r="AJ685" s="47"/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58"/>
      <c r="BD685" s="47"/>
      <c r="BE685" s="47"/>
      <c r="BF685" s="47"/>
      <c r="BG685" s="47"/>
      <c r="BH685" s="47"/>
      <c r="BI685" s="47"/>
      <c r="BJ685" s="47"/>
      <c r="BR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58"/>
      <c r="BD686" s="47"/>
      <c r="BE686" s="47"/>
      <c r="BF686" s="47"/>
      <c r="BG686" s="47"/>
      <c r="BH686" s="47"/>
      <c r="BI686" s="47"/>
      <c r="BJ686" s="47"/>
      <c r="BR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  <c r="AH687" s="47"/>
      <c r="AI687" s="47"/>
      <c r="AJ687" s="47"/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58"/>
      <c r="BD687" s="47"/>
      <c r="BE687" s="47"/>
      <c r="BF687" s="47"/>
      <c r="BG687" s="47"/>
      <c r="BH687" s="47"/>
      <c r="BI687" s="47"/>
      <c r="BJ687" s="47"/>
      <c r="BR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58"/>
      <c r="BD688" s="47"/>
      <c r="BE688" s="47"/>
      <c r="BF688" s="47"/>
      <c r="BG688" s="47"/>
      <c r="BH688" s="47"/>
      <c r="BI688" s="47"/>
      <c r="BJ688" s="47"/>
      <c r="BR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  <c r="AH689" s="47"/>
      <c r="AI689" s="47"/>
      <c r="AJ689" s="47"/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58"/>
      <c r="BD689" s="47"/>
      <c r="BE689" s="47"/>
      <c r="BF689" s="47"/>
      <c r="BG689" s="47"/>
      <c r="BH689" s="47"/>
      <c r="BI689" s="47"/>
      <c r="BJ689" s="47"/>
      <c r="BR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58"/>
      <c r="BD690" s="47"/>
      <c r="BE690" s="47"/>
      <c r="BF690" s="47"/>
      <c r="BG690" s="47"/>
      <c r="BH690" s="47"/>
      <c r="BI690" s="47"/>
      <c r="BJ690" s="47"/>
      <c r="BR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  <c r="AH691" s="47"/>
      <c r="AI691" s="47"/>
      <c r="AJ691" s="47"/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58"/>
      <c r="BD691" s="47"/>
      <c r="BE691" s="47"/>
      <c r="BF691" s="47"/>
      <c r="BG691" s="47"/>
      <c r="BH691" s="47"/>
      <c r="BI691" s="47"/>
      <c r="BJ691" s="47"/>
      <c r="BR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58"/>
      <c r="BD692" s="47"/>
      <c r="BE692" s="47"/>
      <c r="BF692" s="47"/>
      <c r="BG692" s="47"/>
      <c r="BH692" s="47"/>
      <c r="BI692" s="47"/>
      <c r="BJ692" s="47"/>
      <c r="BR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  <c r="AH693" s="47"/>
      <c r="AI693" s="47"/>
      <c r="AJ693" s="47"/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58"/>
      <c r="BD693" s="47"/>
      <c r="BE693" s="47"/>
      <c r="BF693" s="47"/>
      <c r="BG693" s="47"/>
      <c r="BH693" s="47"/>
      <c r="BI693" s="47"/>
      <c r="BJ693" s="47"/>
      <c r="BR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58"/>
      <c r="BD694" s="47"/>
      <c r="BE694" s="47"/>
      <c r="BF694" s="47"/>
      <c r="BG694" s="47"/>
      <c r="BH694" s="47"/>
      <c r="BI694" s="47"/>
      <c r="BJ694" s="47"/>
      <c r="BR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  <c r="AH695" s="47"/>
      <c r="AI695" s="47"/>
      <c r="AJ695" s="47"/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58"/>
      <c r="BD695" s="47"/>
      <c r="BE695" s="47"/>
      <c r="BF695" s="47"/>
      <c r="BG695" s="47"/>
      <c r="BH695" s="47"/>
      <c r="BI695" s="47"/>
      <c r="BJ695" s="47"/>
      <c r="BR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58"/>
      <c r="BD696" s="47"/>
      <c r="BE696" s="47"/>
      <c r="BF696" s="47"/>
      <c r="BG696" s="47"/>
      <c r="BH696" s="47"/>
      <c r="BI696" s="47"/>
      <c r="BJ696" s="47"/>
      <c r="BR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  <c r="AH697" s="47"/>
      <c r="AI697" s="47"/>
      <c r="AJ697" s="47"/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58"/>
      <c r="BD697" s="47"/>
      <c r="BE697" s="47"/>
      <c r="BF697" s="47"/>
      <c r="BG697" s="47"/>
      <c r="BH697" s="47"/>
      <c r="BI697" s="47"/>
      <c r="BJ697" s="47"/>
      <c r="BR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58"/>
      <c r="BD698" s="47"/>
      <c r="BE698" s="47"/>
      <c r="BF698" s="47"/>
      <c r="BG698" s="47"/>
      <c r="BH698" s="47"/>
      <c r="BI698" s="47"/>
      <c r="BJ698" s="47"/>
      <c r="BR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  <c r="AH699" s="47"/>
      <c r="AI699" s="47"/>
      <c r="AJ699" s="47"/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58"/>
      <c r="BD699" s="47"/>
      <c r="BE699" s="47"/>
      <c r="BF699" s="47"/>
      <c r="BG699" s="47"/>
      <c r="BH699" s="47"/>
      <c r="BI699" s="47"/>
      <c r="BJ699" s="47"/>
      <c r="BR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58"/>
      <c r="BD700" s="47"/>
      <c r="BE700" s="47"/>
      <c r="BF700" s="47"/>
      <c r="BG700" s="47"/>
      <c r="BH700" s="47"/>
      <c r="BI700" s="47"/>
      <c r="BJ700" s="47"/>
      <c r="BR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  <c r="AH701" s="47"/>
      <c r="AI701" s="47"/>
      <c r="AJ701" s="47"/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58"/>
      <c r="BD701" s="47"/>
      <c r="BE701" s="47"/>
      <c r="BF701" s="47"/>
      <c r="BG701" s="47"/>
      <c r="BH701" s="47"/>
      <c r="BI701" s="47"/>
      <c r="BJ701" s="47"/>
      <c r="BR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58"/>
      <c r="BD702" s="47"/>
      <c r="BE702" s="47"/>
      <c r="BF702" s="47"/>
      <c r="BG702" s="47"/>
      <c r="BH702" s="47"/>
      <c r="BI702" s="47"/>
      <c r="BJ702" s="47"/>
      <c r="BR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  <c r="AH703" s="47"/>
      <c r="AI703" s="47"/>
      <c r="AJ703" s="47"/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58"/>
      <c r="BD703" s="47"/>
      <c r="BE703" s="47"/>
      <c r="BF703" s="47"/>
      <c r="BG703" s="47"/>
      <c r="BH703" s="47"/>
      <c r="BI703" s="47"/>
      <c r="BJ703" s="47"/>
      <c r="BR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58"/>
      <c r="BD704" s="47"/>
      <c r="BE704" s="47"/>
      <c r="BF704" s="47"/>
      <c r="BG704" s="47"/>
      <c r="BH704" s="47"/>
      <c r="BI704" s="47"/>
      <c r="BJ704" s="47"/>
      <c r="BR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  <c r="AH705" s="47"/>
      <c r="AI705" s="47"/>
      <c r="AJ705" s="47"/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58"/>
      <c r="BD705" s="47"/>
      <c r="BE705" s="47"/>
      <c r="BF705" s="47"/>
      <c r="BG705" s="47"/>
      <c r="BH705" s="47"/>
      <c r="BI705" s="47"/>
      <c r="BJ705" s="47"/>
      <c r="BR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58"/>
      <c r="BD706" s="47"/>
      <c r="BE706" s="47"/>
      <c r="BF706" s="47"/>
      <c r="BG706" s="47"/>
      <c r="BH706" s="47"/>
      <c r="BI706" s="47"/>
      <c r="BJ706" s="47"/>
      <c r="BR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  <c r="AH707" s="47"/>
      <c r="AI707" s="47"/>
      <c r="AJ707" s="47"/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58"/>
      <c r="BD707" s="47"/>
      <c r="BE707" s="47"/>
      <c r="BF707" s="47"/>
      <c r="BG707" s="47"/>
      <c r="BH707" s="47"/>
      <c r="BI707" s="47"/>
      <c r="BJ707" s="47"/>
      <c r="BR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58"/>
      <c r="BD708" s="47"/>
      <c r="BE708" s="47"/>
      <c r="BF708" s="47"/>
      <c r="BG708" s="47"/>
      <c r="BH708" s="47"/>
      <c r="BI708" s="47"/>
      <c r="BJ708" s="47"/>
      <c r="BR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47"/>
      <c r="AI709" s="47"/>
      <c r="AJ709" s="47"/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58"/>
      <c r="BD709" s="47"/>
      <c r="BE709" s="47"/>
      <c r="BF709" s="47"/>
      <c r="BG709" s="47"/>
      <c r="BH709" s="47"/>
      <c r="BI709" s="47"/>
      <c r="BJ709" s="47"/>
      <c r="BR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58"/>
      <c r="BD710" s="47"/>
      <c r="BE710" s="47"/>
      <c r="BF710" s="47"/>
      <c r="BG710" s="47"/>
      <c r="BH710" s="47"/>
      <c r="BI710" s="47"/>
      <c r="BJ710" s="47"/>
      <c r="BR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47"/>
      <c r="AI711" s="47"/>
      <c r="AJ711" s="47"/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58"/>
      <c r="BD711" s="47"/>
      <c r="BE711" s="47"/>
      <c r="BF711" s="47"/>
      <c r="BG711" s="47"/>
      <c r="BH711" s="47"/>
      <c r="BI711" s="47"/>
      <c r="BJ711" s="47"/>
      <c r="BR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58"/>
      <c r="BD712" s="47"/>
      <c r="BE712" s="47"/>
      <c r="BF712" s="47"/>
      <c r="BG712" s="47"/>
      <c r="BH712" s="47"/>
      <c r="BI712" s="47"/>
      <c r="BJ712" s="47"/>
      <c r="BR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47"/>
      <c r="AI713" s="47"/>
      <c r="AJ713" s="47"/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58"/>
      <c r="BD713" s="47"/>
      <c r="BE713" s="47"/>
      <c r="BF713" s="47"/>
      <c r="BG713" s="47"/>
      <c r="BH713" s="47"/>
      <c r="BI713" s="47"/>
      <c r="BJ713" s="47"/>
      <c r="BR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58"/>
      <c r="BD714" s="47"/>
      <c r="BE714" s="47"/>
      <c r="BF714" s="47"/>
      <c r="BG714" s="47"/>
      <c r="BH714" s="47"/>
      <c r="BI714" s="47"/>
      <c r="BJ714" s="47"/>
      <c r="BR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47"/>
      <c r="AI715" s="47"/>
      <c r="AJ715" s="47"/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58"/>
      <c r="BD715" s="47"/>
      <c r="BE715" s="47"/>
      <c r="BF715" s="47"/>
      <c r="BG715" s="47"/>
      <c r="BH715" s="47"/>
      <c r="BI715" s="47"/>
      <c r="BJ715" s="47"/>
      <c r="BR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58"/>
      <c r="BD716" s="47"/>
      <c r="BE716" s="47"/>
      <c r="BF716" s="47"/>
      <c r="BG716" s="47"/>
      <c r="BH716" s="47"/>
      <c r="BI716" s="47"/>
      <c r="BJ716" s="47"/>
      <c r="BR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47"/>
      <c r="AI717" s="47"/>
      <c r="AJ717" s="47"/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58"/>
      <c r="BD717" s="47"/>
      <c r="BE717" s="47"/>
      <c r="BF717" s="47"/>
      <c r="BG717" s="47"/>
      <c r="BH717" s="47"/>
      <c r="BI717" s="47"/>
      <c r="BJ717" s="47"/>
      <c r="BR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58"/>
      <c r="BD718" s="47"/>
      <c r="BE718" s="47"/>
      <c r="BF718" s="47"/>
      <c r="BG718" s="47"/>
      <c r="BH718" s="47"/>
      <c r="BI718" s="47"/>
      <c r="BJ718" s="47"/>
      <c r="BR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47"/>
      <c r="AI719" s="47"/>
      <c r="AJ719" s="47"/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58"/>
      <c r="BD719" s="47"/>
      <c r="BE719" s="47"/>
      <c r="BF719" s="47"/>
      <c r="BG719" s="47"/>
      <c r="BH719" s="47"/>
      <c r="BI719" s="47"/>
      <c r="BJ719" s="47"/>
      <c r="BR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58"/>
      <c r="BD720" s="47"/>
      <c r="BE720" s="47"/>
      <c r="BF720" s="47"/>
      <c r="BG720" s="47"/>
      <c r="BH720" s="47"/>
      <c r="BI720" s="47"/>
      <c r="BJ720" s="47"/>
      <c r="BR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47"/>
      <c r="AI721" s="47"/>
      <c r="AJ721" s="47"/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58"/>
      <c r="BD721" s="47"/>
      <c r="BE721" s="47"/>
      <c r="BF721" s="47"/>
      <c r="BG721" s="47"/>
      <c r="BH721" s="47"/>
      <c r="BI721" s="47"/>
      <c r="BJ721" s="47"/>
      <c r="BR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58"/>
      <c r="BD722" s="47"/>
      <c r="BE722" s="47"/>
      <c r="BF722" s="47"/>
      <c r="BG722" s="47"/>
      <c r="BH722" s="47"/>
      <c r="BI722" s="47"/>
      <c r="BJ722" s="47"/>
      <c r="BR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47"/>
      <c r="AI723" s="47"/>
      <c r="AJ723" s="47"/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58"/>
      <c r="BD723" s="47"/>
      <c r="BE723" s="47"/>
      <c r="BF723" s="47"/>
      <c r="BG723" s="47"/>
      <c r="BH723" s="47"/>
      <c r="BI723" s="47"/>
      <c r="BJ723" s="47"/>
      <c r="BR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58"/>
      <c r="BD724" s="47"/>
      <c r="BE724" s="47"/>
      <c r="BF724" s="47"/>
      <c r="BG724" s="47"/>
      <c r="BH724" s="47"/>
      <c r="BI724" s="47"/>
      <c r="BJ724" s="47"/>
      <c r="BR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47"/>
      <c r="AI725" s="47"/>
      <c r="AJ725" s="47"/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58"/>
      <c r="BD725" s="47"/>
      <c r="BE725" s="47"/>
      <c r="BF725" s="47"/>
      <c r="BG725" s="47"/>
      <c r="BH725" s="47"/>
      <c r="BI725" s="47"/>
      <c r="BJ725" s="47"/>
      <c r="BR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58"/>
      <c r="BD726" s="47"/>
      <c r="BE726" s="47"/>
      <c r="BF726" s="47"/>
      <c r="BG726" s="47"/>
      <c r="BH726" s="47"/>
      <c r="BI726" s="47"/>
      <c r="BJ726" s="47"/>
      <c r="BR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47"/>
      <c r="AI727" s="47"/>
      <c r="AJ727" s="47"/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58"/>
      <c r="BD727" s="47"/>
      <c r="BE727" s="47"/>
      <c r="BF727" s="47"/>
      <c r="BG727" s="47"/>
      <c r="BH727" s="47"/>
      <c r="BI727" s="47"/>
      <c r="BJ727" s="47"/>
      <c r="BR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58"/>
      <c r="BD728" s="47"/>
      <c r="BE728" s="47"/>
      <c r="BF728" s="47"/>
      <c r="BG728" s="47"/>
      <c r="BH728" s="47"/>
      <c r="BI728" s="47"/>
      <c r="BJ728" s="47"/>
      <c r="BR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47"/>
      <c r="AI729" s="47"/>
      <c r="AJ729" s="47"/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58"/>
      <c r="BD729" s="47"/>
      <c r="BE729" s="47"/>
      <c r="BF729" s="47"/>
      <c r="BG729" s="47"/>
      <c r="BH729" s="47"/>
      <c r="BI729" s="47"/>
      <c r="BJ729" s="47"/>
      <c r="BR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58"/>
      <c r="BD730" s="47"/>
      <c r="BE730" s="47"/>
      <c r="BF730" s="47"/>
      <c r="BG730" s="47"/>
      <c r="BH730" s="47"/>
      <c r="BI730" s="47"/>
      <c r="BJ730" s="47"/>
      <c r="BR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47"/>
      <c r="AI731" s="47"/>
      <c r="AJ731" s="47"/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58"/>
      <c r="BD731" s="47"/>
      <c r="BE731" s="47"/>
      <c r="BF731" s="47"/>
      <c r="BG731" s="47"/>
      <c r="BH731" s="47"/>
      <c r="BI731" s="47"/>
      <c r="BJ731" s="47"/>
      <c r="BR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58"/>
      <c r="BD732" s="47"/>
      <c r="BE732" s="47"/>
      <c r="BF732" s="47"/>
      <c r="BG732" s="47"/>
      <c r="BH732" s="47"/>
      <c r="BI732" s="47"/>
      <c r="BJ732" s="47"/>
      <c r="BR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  <c r="AH733" s="47"/>
      <c r="AI733" s="47"/>
      <c r="AJ733" s="47"/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58"/>
      <c r="BD733" s="47"/>
      <c r="BE733" s="47"/>
      <c r="BF733" s="47"/>
      <c r="BG733" s="47"/>
      <c r="BH733" s="47"/>
      <c r="BI733" s="47"/>
      <c r="BJ733" s="47"/>
      <c r="BR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58"/>
      <c r="BD734" s="47"/>
      <c r="BE734" s="47"/>
      <c r="BF734" s="47"/>
      <c r="BG734" s="47"/>
      <c r="BH734" s="47"/>
      <c r="BI734" s="47"/>
      <c r="BJ734" s="47"/>
      <c r="BR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  <c r="AH735" s="47"/>
      <c r="AI735" s="47"/>
      <c r="AJ735" s="47"/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58"/>
      <c r="BD735" s="47"/>
      <c r="BE735" s="47"/>
      <c r="BF735" s="47"/>
      <c r="BG735" s="47"/>
      <c r="BH735" s="47"/>
      <c r="BI735" s="47"/>
      <c r="BJ735" s="47"/>
      <c r="BR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58"/>
      <c r="BD736" s="47"/>
      <c r="BE736" s="47"/>
      <c r="BF736" s="47"/>
      <c r="BG736" s="47"/>
      <c r="BH736" s="47"/>
      <c r="BI736" s="47"/>
      <c r="BJ736" s="47"/>
      <c r="BR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  <c r="AH737" s="47"/>
      <c r="AI737" s="47"/>
      <c r="AJ737" s="47"/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58"/>
      <c r="BD737" s="47"/>
      <c r="BE737" s="47"/>
      <c r="BF737" s="47"/>
      <c r="BG737" s="47"/>
      <c r="BH737" s="47"/>
      <c r="BI737" s="47"/>
      <c r="BJ737" s="47"/>
      <c r="BR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58"/>
      <c r="BD738" s="47"/>
      <c r="BE738" s="47"/>
      <c r="BF738" s="47"/>
      <c r="BG738" s="47"/>
      <c r="BH738" s="47"/>
      <c r="BI738" s="47"/>
      <c r="BJ738" s="47"/>
      <c r="BR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  <c r="AH739" s="47"/>
      <c r="AI739" s="47"/>
      <c r="AJ739" s="47"/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58"/>
      <c r="BD739" s="47"/>
      <c r="BE739" s="47"/>
      <c r="BF739" s="47"/>
      <c r="BG739" s="47"/>
      <c r="BH739" s="47"/>
      <c r="BI739" s="47"/>
      <c r="BJ739" s="47"/>
      <c r="BR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58"/>
      <c r="BD740" s="47"/>
      <c r="BE740" s="47"/>
      <c r="BF740" s="47"/>
      <c r="BG740" s="47"/>
      <c r="BH740" s="47"/>
      <c r="BI740" s="47"/>
      <c r="BJ740" s="47"/>
      <c r="BR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  <c r="AH741" s="47"/>
      <c r="AI741" s="47"/>
      <c r="AJ741" s="47"/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58"/>
      <c r="BD741" s="47"/>
      <c r="BE741" s="47"/>
      <c r="BF741" s="47"/>
      <c r="BG741" s="47"/>
      <c r="BH741" s="47"/>
      <c r="BI741" s="47"/>
      <c r="BJ741" s="47"/>
      <c r="BR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58"/>
      <c r="BD742" s="47"/>
      <c r="BE742" s="47"/>
      <c r="BF742" s="47"/>
      <c r="BG742" s="47"/>
      <c r="BH742" s="47"/>
      <c r="BI742" s="47"/>
      <c r="BJ742" s="47"/>
      <c r="BR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  <c r="AH743" s="47"/>
      <c r="AI743" s="47"/>
      <c r="AJ743" s="47"/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58"/>
      <c r="BD743" s="47"/>
      <c r="BE743" s="47"/>
      <c r="BF743" s="47"/>
      <c r="BG743" s="47"/>
      <c r="BH743" s="47"/>
      <c r="BI743" s="47"/>
      <c r="BJ743" s="47"/>
      <c r="BR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58"/>
      <c r="BD744" s="47"/>
      <c r="BE744" s="47"/>
      <c r="BF744" s="47"/>
      <c r="BG744" s="47"/>
      <c r="BH744" s="47"/>
      <c r="BI744" s="47"/>
      <c r="BJ744" s="47"/>
      <c r="BR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  <c r="AH745" s="47"/>
      <c r="AI745" s="47"/>
      <c r="AJ745" s="47"/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58"/>
      <c r="BD745" s="47"/>
      <c r="BE745" s="47"/>
      <c r="BF745" s="47"/>
      <c r="BG745" s="47"/>
      <c r="BH745" s="47"/>
      <c r="BI745" s="47"/>
      <c r="BJ745" s="47"/>
      <c r="BR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58"/>
      <c r="BD746" s="47"/>
      <c r="BE746" s="47"/>
      <c r="BF746" s="47"/>
      <c r="BG746" s="47"/>
      <c r="BH746" s="47"/>
      <c r="BI746" s="47"/>
      <c r="BJ746" s="47"/>
      <c r="BR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  <c r="AH747" s="47"/>
      <c r="AI747" s="47"/>
      <c r="AJ747" s="47"/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58"/>
      <c r="BD747" s="47"/>
      <c r="BE747" s="47"/>
      <c r="BF747" s="47"/>
      <c r="BG747" s="47"/>
      <c r="BH747" s="47"/>
      <c r="BI747" s="47"/>
      <c r="BJ747" s="47"/>
      <c r="BR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58"/>
      <c r="BD748" s="47"/>
      <c r="BE748" s="47"/>
      <c r="BF748" s="47"/>
      <c r="BG748" s="47"/>
      <c r="BH748" s="47"/>
      <c r="BI748" s="47"/>
      <c r="BJ748" s="47"/>
      <c r="BR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  <c r="AH749" s="47"/>
      <c r="AI749" s="47"/>
      <c r="AJ749" s="47"/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58"/>
      <c r="BD749" s="47"/>
      <c r="BE749" s="47"/>
      <c r="BF749" s="47"/>
      <c r="BG749" s="47"/>
      <c r="BH749" s="47"/>
      <c r="BI749" s="47"/>
      <c r="BJ749" s="47"/>
      <c r="BR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58"/>
      <c r="BD750" s="47"/>
      <c r="BE750" s="47"/>
      <c r="BF750" s="47"/>
      <c r="BG750" s="47"/>
      <c r="BH750" s="47"/>
      <c r="BI750" s="47"/>
      <c r="BJ750" s="47"/>
      <c r="BR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  <c r="AH751" s="47"/>
      <c r="AI751" s="47"/>
      <c r="AJ751" s="47"/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58"/>
      <c r="BD751" s="47"/>
      <c r="BE751" s="47"/>
      <c r="BF751" s="47"/>
      <c r="BG751" s="47"/>
      <c r="BH751" s="47"/>
      <c r="BI751" s="47"/>
      <c r="BJ751" s="47"/>
      <c r="BR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58"/>
      <c r="BD752" s="47"/>
      <c r="BE752" s="47"/>
      <c r="BF752" s="47"/>
      <c r="BG752" s="47"/>
      <c r="BH752" s="47"/>
      <c r="BI752" s="47"/>
      <c r="BJ752" s="47"/>
      <c r="BR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  <c r="AH753" s="47"/>
      <c r="AI753" s="47"/>
      <c r="AJ753" s="47"/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58"/>
      <c r="BD753" s="47"/>
      <c r="BE753" s="47"/>
      <c r="BF753" s="47"/>
      <c r="BG753" s="47"/>
      <c r="BH753" s="47"/>
      <c r="BI753" s="47"/>
      <c r="BJ753" s="47"/>
      <c r="BR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58"/>
      <c r="BD754" s="47"/>
      <c r="BE754" s="47"/>
      <c r="BF754" s="47"/>
      <c r="BG754" s="47"/>
      <c r="BH754" s="47"/>
      <c r="BI754" s="47"/>
      <c r="BJ754" s="47"/>
      <c r="BR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  <c r="AH755" s="47"/>
      <c r="AI755" s="47"/>
      <c r="AJ755" s="47"/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58"/>
      <c r="BD755" s="47"/>
      <c r="BE755" s="47"/>
      <c r="BF755" s="47"/>
      <c r="BG755" s="47"/>
      <c r="BH755" s="47"/>
      <c r="BI755" s="47"/>
      <c r="BJ755" s="47"/>
      <c r="BR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58"/>
      <c r="BD756" s="47"/>
      <c r="BE756" s="47"/>
      <c r="BF756" s="47"/>
      <c r="BG756" s="47"/>
      <c r="BH756" s="47"/>
      <c r="BI756" s="47"/>
      <c r="BJ756" s="47"/>
      <c r="BR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  <c r="AH757" s="47"/>
      <c r="AI757" s="47"/>
      <c r="AJ757" s="47"/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58"/>
      <c r="BD757" s="47"/>
      <c r="BE757" s="47"/>
      <c r="BF757" s="47"/>
      <c r="BG757" s="47"/>
      <c r="BH757" s="47"/>
      <c r="BI757" s="47"/>
      <c r="BJ757" s="47"/>
      <c r="BR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58"/>
      <c r="BD758" s="47"/>
      <c r="BE758" s="47"/>
      <c r="BF758" s="47"/>
      <c r="BG758" s="47"/>
      <c r="BH758" s="47"/>
      <c r="BI758" s="47"/>
      <c r="BJ758" s="47"/>
      <c r="BR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  <c r="AH759" s="47"/>
      <c r="AI759" s="47"/>
      <c r="AJ759" s="47"/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58"/>
      <c r="BD759" s="47"/>
      <c r="BE759" s="47"/>
      <c r="BF759" s="47"/>
      <c r="BG759" s="47"/>
      <c r="BH759" s="47"/>
      <c r="BI759" s="47"/>
      <c r="BJ759" s="47"/>
      <c r="BR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58"/>
      <c r="BD760" s="47"/>
      <c r="BE760" s="47"/>
      <c r="BF760" s="47"/>
      <c r="BG760" s="47"/>
      <c r="BH760" s="47"/>
      <c r="BI760" s="47"/>
      <c r="BJ760" s="47"/>
      <c r="BR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  <c r="AH761" s="47"/>
      <c r="AI761" s="47"/>
      <c r="AJ761" s="47"/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58"/>
      <c r="BD761" s="47"/>
      <c r="BE761" s="47"/>
      <c r="BF761" s="47"/>
      <c r="BG761" s="47"/>
      <c r="BH761" s="47"/>
      <c r="BI761" s="47"/>
      <c r="BJ761" s="47"/>
      <c r="BR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58"/>
      <c r="BD762" s="47"/>
      <c r="BE762" s="47"/>
      <c r="BF762" s="47"/>
      <c r="BG762" s="47"/>
      <c r="BH762" s="47"/>
      <c r="BI762" s="47"/>
      <c r="BJ762" s="47"/>
      <c r="BR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  <c r="AH763" s="47"/>
      <c r="AI763" s="47"/>
      <c r="AJ763" s="47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58"/>
      <c r="BD763" s="47"/>
      <c r="BE763" s="47"/>
      <c r="BF763" s="47"/>
      <c r="BG763" s="47"/>
      <c r="BH763" s="47"/>
      <c r="BI763" s="47"/>
      <c r="BJ763" s="47"/>
      <c r="BR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58"/>
      <c r="BD764" s="47"/>
      <c r="BE764" s="47"/>
      <c r="BF764" s="47"/>
      <c r="BG764" s="47"/>
      <c r="BH764" s="47"/>
      <c r="BI764" s="47"/>
      <c r="BJ764" s="47"/>
      <c r="BR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  <c r="AH765" s="47"/>
      <c r="AI765" s="47"/>
      <c r="AJ765" s="47"/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58"/>
      <c r="BD765" s="47"/>
      <c r="BE765" s="47"/>
      <c r="BF765" s="47"/>
      <c r="BG765" s="47"/>
      <c r="BH765" s="47"/>
      <c r="BI765" s="47"/>
      <c r="BJ765" s="47"/>
      <c r="BR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58"/>
      <c r="BD766" s="47"/>
      <c r="BE766" s="47"/>
      <c r="BF766" s="47"/>
      <c r="BG766" s="47"/>
      <c r="BH766" s="47"/>
      <c r="BI766" s="47"/>
      <c r="BJ766" s="47"/>
      <c r="BR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  <c r="AH767" s="47"/>
      <c r="AI767" s="47"/>
      <c r="AJ767" s="47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58"/>
      <c r="BD767" s="47"/>
      <c r="BE767" s="47"/>
      <c r="BF767" s="47"/>
      <c r="BG767" s="47"/>
      <c r="BH767" s="47"/>
      <c r="BI767" s="47"/>
      <c r="BJ767" s="47"/>
      <c r="BR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58"/>
      <c r="BD768" s="47"/>
      <c r="BE768" s="47"/>
      <c r="BF768" s="47"/>
      <c r="BG768" s="47"/>
      <c r="BH768" s="47"/>
      <c r="BI768" s="47"/>
      <c r="BJ768" s="47"/>
      <c r="BR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  <c r="AH769" s="47"/>
      <c r="AI769" s="47"/>
      <c r="AJ769" s="47"/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58"/>
      <c r="BD769" s="47"/>
      <c r="BE769" s="47"/>
      <c r="BF769" s="47"/>
      <c r="BG769" s="47"/>
      <c r="BH769" s="47"/>
      <c r="BI769" s="47"/>
      <c r="BJ769" s="47"/>
      <c r="BR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58"/>
      <c r="BD770" s="47"/>
      <c r="BE770" s="47"/>
      <c r="BF770" s="47"/>
      <c r="BG770" s="47"/>
      <c r="BH770" s="47"/>
      <c r="BI770" s="47"/>
      <c r="BJ770" s="47"/>
      <c r="BR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  <c r="AH771" s="47"/>
      <c r="AI771" s="47"/>
      <c r="AJ771" s="47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58"/>
      <c r="BD771" s="47"/>
      <c r="BE771" s="47"/>
      <c r="BF771" s="47"/>
      <c r="BG771" s="47"/>
      <c r="BH771" s="47"/>
      <c r="BI771" s="47"/>
      <c r="BJ771" s="47"/>
      <c r="BR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  <c r="AH772" s="47"/>
      <c r="AI772" s="47"/>
      <c r="AJ772" s="47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58"/>
      <c r="BD772" s="47"/>
      <c r="BE772" s="47"/>
      <c r="BF772" s="47"/>
      <c r="BG772" s="47"/>
      <c r="BH772" s="47"/>
      <c r="BI772" s="47"/>
      <c r="BJ772" s="47"/>
      <c r="BR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47"/>
      <c r="AI773" s="47"/>
      <c r="AJ773" s="47"/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58"/>
      <c r="BD773" s="47"/>
      <c r="BE773" s="47"/>
      <c r="BF773" s="47"/>
      <c r="BG773" s="47"/>
      <c r="BH773" s="47"/>
      <c r="BI773" s="47"/>
      <c r="BJ773" s="47"/>
      <c r="BR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47"/>
      <c r="AI774" s="47"/>
      <c r="AJ774" s="47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58"/>
      <c r="BD774" s="47"/>
      <c r="BE774" s="47"/>
      <c r="BF774" s="47"/>
      <c r="BG774" s="47"/>
      <c r="BH774" s="47"/>
      <c r="BI774" s="47"/>
      <c r="BJ774" s="47"/>
      <c r="BR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47"/>
      <c r="AI775" s="47"/>
      <c r="AJ775" s="47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58"/>
      <c r="BD775" s="47"/>
      <c r="BE775" s="47"/>
      <c r="BF775" s="47"/>
      <c r="BG775" s="47"/>
      <c r="BH775" s="47"/>
      <c r="BI775" s="47"/>
      <c r="BJ775" s="47"/>
      <c r="BR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47"/>
      <c r="AI776" s="47"/>
      <c r="AJ776" s="47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58"/>
      <c r="BD776" s="47"/>
      <c r="BE776" s="47"/>
      <c r="BF776" s="47"/>
      <c r="BG776" s="47"/>
      <c r="BH776" s="47"/>
      <c r="BI776" s="47"/>
      <c r="BJ776" s="47"/>
      <c r="BR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47"/>
      <c r="AI777" s="47"/>
      <c r="AJ777" s="47"/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58"/>
      <c r="BD777" s="47"/>
      <c r="BE777" s="47"/>
      <c r="BF777" s="47"/>
      <c r="BG777" s="47"/>
      <c r="BH777" s="47"/>
      <c r="BI777" s="47"/>
      <c r="BJ777" s="47"/>
      <c r="BR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47"/>
      <c r="AI778" s="47"/>
      <c r="AJ778" s="47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58"/>
      <c r="BD778" s="47"/>
      <c r="BE778" s="47"/>
      <c r="BF778" s="47"/>
      <c r="BG778" s="47"/>
      <c r="BH778" s="47"/>
      <c r="BI778" s="47"/>
      <c r="BJ778" s="47"/>
      <c r="BR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47"/>
      <c r="AI779" s="47"/>
      <c r="AJ779" s="47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58"/>
      <c r="BD779" s="47"/>
      <c r="BE779" s="47"/>
      <c r="BF779" s="47"/>
      <c r="BG779" s="47"/>
      <c r="BH779" s="47"/>
      <c r="BI779" s="47"/>
      <c r="BJ779" s="47"/>
      <c r="BR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47"/>
      <c r="AI780" s="47"/>
      <c r="AJ780" s="47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58"/>
      <c r="BD780" s="47"/>
      <c r="BE780" s="47"/>
      <c r="BF780" s="47"/>
      <c r="BG780" s="47"/>
      <c r="BH780" s="47"/>
      <c r="BI780" s="47"/>
      <c r="BJ780" s="47"/>
      <c r="BR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47"/>
      <c r="AI781" s="47"/>
      <c r="AJ781" s="47"/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58"/>
      <c r="BD781" s="47"/>
      <c r="BE781" s="47"/>
      <c r="BF781" s="47"/>
      <c r="BG781" s="47"/>
      <c r="BH781" s="47"/>
      <c r="BI781" s="47"/>
      <c r="BJ781" s="47"/>
      <c r="BR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47"/>
      <c r="AI782" s="47"/>
      <c r="AJ782" s="47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58"/>
      <c r="BD782" s="47"/>
      <c r="BE782" s="47"/>
      <c r="BF782" s="47"/>
      <c r="BG782" s="47"/>
      <c r="BH782" s="47"/>
      <c r="BI782" s="47"/>
      <c r="BJ782" s="47"/>
      <c r="BR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47"/>
      <c r="AI783" s="47"/>
      <c r="AJ783" s="47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58"/>
      <c r="BD783" s="47"/>
      <c r="BE783" s="47"/>
      <c r="BF783" s="47"/>
      <c r="BG783" s="47"/>
      <c r="BH783" s="47"/>
      <c r="BI783" s="47"/>
      <c r="BJ783" s="47"/>
      <c r="BR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58"/>
      <c r="BD784" s="47"/>
      <c r="BE784" s="47"/>
      <c r="BF784" s="47"/>
      <c r="BG784" s="47"/>
      <c r="BH784" s="47"/>
      <c r="BI784" s="47"/>
      <c r="BJ784" s="47"/>
      <c r="BR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47"/>
      <c r="AI785" s="47"/>
      <c r="AJ785" s="47"/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58"/>
      <c r="BD785" s="47"/>
      <c r="BE785" s="47"/>
      <c r="BF785" s="47"/>
      <c r="BG785" s="47"/>
      <c r="BH785" s="47"/>
      <c r="BI785" s="47"/>
      <c r="BJ785" s="47"/>
      <c r="BR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47"/>
      <c r="AI786" s="47"/>
      <c r="AJ786" s="47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58"/>
      <c r="BD786" s="47"/>
      <c r="BE786" s="47"/>
      <c r="BF786" s="47"/>
      <c r="BG786" s="47"/>
      <c r="BH786" s="47"/>
      <c r="BI786" s="47"/>
      <c r="BJ786" s="47"/>
      <c r="BR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47"/>
      <c r="AI787" s="47"/>
      <c r="AJ787" s="47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58"/>
      <c r="BD787" s="47"/>
      <c r="BE787" s="47"/>
      <c r="BF787" s="47"/>
      <c r="BG787" s="47"/>
      <c r="BH787" s="47"/>
      <c r="BI787" s="47"/>
      <c r="BJ787" s="47"/>
      <c r="BR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47"/>
      <c r="AI788" s="47"/>
      <c r="AJ788" s="47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58"/>
      <c r="BD788" s="47"/>
      <c r="BE788" s="47"/>
      <c r="BF788" s="47"/>
      <c r="BG788" s="47"/>
      <c r="BH788" s="47"/>
      <c r="BI788" s="47"/>
      <c r="BJ788" s="47"/>
      <c r="BR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47"/>
      <c r="AI789" s="47"/>
      <c r="AJ789" s="47"/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58"/>
      <c r="BD789" s="47"/>
      <c r="BE789" s="47"/>
      <c r="BF789" s="47"/>
      <c r="BG789" s="47"/>
      <c r="BH789" s="47"/>
      <c r="BI789" s="47"/>
      <c r="BJ789" s="47"/>
      <c r="BR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47"/>
      <c r="AI790" s="47"/>
      <c r="AJ790" s="47"/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58"/>
      <c r="BD790" s="47"/>
      <c r="BE790" s="47"/>
      <c r="BF790" s="47"/>
      <c r="BG790" s="47"/>
      <c r="BH790" s="47"/>
      <c r="BI790" s="47"/>
      <c r="BJ790" s="47"/>
      <c r="BR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47"/>
      <c r="AI791" s="47"/>
      <c r="AJ791" s="47"/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58"/>
      <c r="BD791" s="47"/>
      <c r="BE791" s="47"/>
      <c r="BF791" s="47"/>
      <c r="BG791" s="47"/>
      <c r="BH791" s="47"/>
      <c r="BI791" s="47"/>
      <c r="BJ791" s="47"/>
      <c r="BR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47"/>
      <c r="AI792" s="47"/>
      <c r="AJ792" s="47"/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58"/>
      <c r="BD792" s="47"/>
      <c r="BE792" s="47"/>
      <c r="BF792" s="47"/>
      <c r="BG792" s="47"/>
      <c r="BH792" s="47"/>
      <c r="BI792" s="47"/>
      <c r="BJ792" s="47"/>
      <c r="BR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47"/>
      <c r="AI793" s="47"/>
      <c r="AJ793" s="47"/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58"/>
      <c r="BD793" s="47"/>
      <c r="BE793" s="47"/>
      <c r="BF793" s="47"/>
      <c r="BG793" s="47"/>
      <c r="BH793" s="47"/>
      <c r="BI793" s="47"/>
      <c r="BJ793" s="47"/>
      <c r="BR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47"/>
      <c r="AI794" s="47"/>
      <c r="AJ794" s="47"/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58"/>
      <c r="BD794" s="47"/>
      <c r="BE794" s="47"/>
      <c r="BF794" s="47"/>
      <c r="BG794" s="47"/>
      <c r="BH794" s="47"/>
      <c r="BI794" s="47"/>
      <c r="BJ794" s="47"/>
      <c r="BR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47"/>
      <c r="AI795" s="47"/>
      <c r="AJ795" s="47"/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58"/>
      <c r="BD795" s="47"/>
      <c r="BE795" s="47"/>
      <c r="BF795" s="47"/>
      <c r="BG795" s="47"/>
      <c r="BH795" s="47"/>
      <c r="BI795" s="47"/>
      <c r="BJ795" s="47"/>
      <c r="BR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47"/>
      <c r="AI796" s="47"/>
      <c r="AJ796" s="47"/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58"/>
      <c r="BD796" s="47"/>
      <c r="BE796" s="47"/>
      <c r="BF796" s="47"/>
      <c r="BG796" s="47"/>
      <c r="BH796" s="47"/>
      <c r="BI796" s="47"/>
      <c r="BJ796" s="47"/>
      <c r="BR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  <c r="AH797" s="47"/>
      <c r="AI797" s="47"/>
      <c r="AJ797" s="47"/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58"/>
      <c r="BD797" s="47"/>
      <c r="BE797" s="47"/>
      <c r="BF797" s="47"/>
      <c r="BG797" s="47"/>
      <c r="BH797" s="47"/>
      <c r="BI797" s="47"/>
      <c r="BJ797" s="47"/>
      <c r="BR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  <c r="AH798" s="47"/>
      <c r="AI798" s="47"/>
      <c r="AJ798" s="47"/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58"/>
      <c r="BD798" s="47"/>
      <c r="BE798" s="47"/>
      <c r="BF798" s="47"/>
      <c r="BG798" s="47"/>
      <c r="BH798" s="47"/>
      <c r="BI798" s="47"/>
      <c r="BJ798" s="47"/>
      <c r="BR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  <c r="AH799" s="47"/>
      <c r="AI799" s="47"/>
      <c r="AJ799" s="47"/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58"/>
      <c r="BD799" s="47"/>
      <c r="BE799" s="47"/>
      <c r="BF799" s="47"/>
      <c r="BG799" s="47"/>
      <c r="BH799" s="47"/>
      <c r="BI799" s="47"/>
      <c r="BJ799" s="47"/>
      <c r="BR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  <c r="AH800" s="47"/>
      <c r="AI800" s="47"/>
      <c r="AJ800" s="47"/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58"/>
      <c r="BD800" s="47"/>
      <c r="BE800" s="47"/>
      <c r="BF800" s="47"/>
      <c r="BG800" s="47"/>
      <c r="BH800" s="47"/>
      <c r="BI800" s="47"/>
      <c r="BJ800" s="47"/>
      <c r="BR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  <c r="AH801" s="47"/>
      <c r="AI801" s="47"/>
      <c r="AJ801" s="47"/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58"/>
      <c r="BD801" s="47"/>
      <c r="BE801" s="47"/>
      <c r="BF801" s="47"/>
      <c r="BG801" s="47"/>
      <c r="BH801" s="47"/>
      <c r="BI801" s="47"/>
      <c r="BJ801" s="47"/>
      <c r="BR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  <c r="AH802" s="47"/>
      <c r="AI802" s="47"/>
      <c r="AJ802" s="47"/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58"/>
      <c r="BD802" s="47"/>
      <c r="BE802" s="47"/>
      <c r="BF802" s="47"/>
      <c r="BG802" s="47"/>
      <c r="BH802" s="47"/>
      <c r="BI802" s="47"/>
      <c r="BJ802" s="47"/>
      <c r="BR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  <c r="AH803" s="47"/>
      <c r="AI803" s="47"/>
      <c r="AJ803" s="47"/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58"/>
      <c r="BD803" s="47"/>
      <c r="BE803" s="47"/>
      <c r="BF803" s="47"/>
      <c r="BG803" s="47"/>
      <c r="BH803" s="47"/>
      <c r="BI803" s="47"/>
      <c r="BJ803" s="47"/>
      <c r="BR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  <c r="AH804" s="47"/>
      <c r="AI804" s="47"/>
      <c r="AJ804" s="47"/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58"/>
      <c r="BD804" s="47"/>
      <c r="BE804" s="47"/>
      <c r="BF804" s="47"/>
      <c r="BG804" s="47"/>
      <c r="BH804" s="47"/>
      <c r="BI804" s="47"/>
      <c r="BJ804" s="47"/>
      <c r="BR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  <c r="AH805" s="47"/>
      <c r="AI805" s="47"/>
      <c r="AJ805" s="47"/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58"/>
      <c r="BD805" s="47"/>
      <c r="BE805" s="47"/>
      <c r="BF805" s="47"/>
      <c r="BG805" s="47"/>
      <c r="BH805" s="47"/>
      <c r="BI805" s="47"/>
      <c r="BJ805" s="47"/>
      <c r="BR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  <c r="AH806" s="47"/>
      <c r="AI806" s="47"/>
      <c r="AJ806" s="47"/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58"/>
      <c r="BD806" s="47"/>
      <c r="BE806" s="47"/>
      <c r="BF806" s="47"/>
      <c r="BG806" s="47"/>
      <c r="BH806" s="47"/>
      <c r="BI806" s="47"/>
      <c r="BJ806" s="47"/>
      <c r="BR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  <c r="AH807" s="47"/>
      <c r="AI807" s="47"/>
      <c r="AJ807" s="47"/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58"/>
      <c r="BD807" s="47"/>
      <c r="BE807" s="47"/>
      <c r="BF807" s="47"/>
      <c r="BG807" s="47"/>
      <c r="BH807" s="47"/>
      <c r="BI807" s="47"/>
      <c r="BJ807" s="47"/>
      <c r="BR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  <c r="AH808" s="47"/>
      <c r="AI808" s="47"/>
      <c r="AJ808" s="47"/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58"/>
      <c r="BD808" s="47"/>
      <c r="BE808" s="47"/>
      <c r="BF808" s="47"/>
      <c r="BG808" s="47"/>
      <c r="BH808" s="47"/>
      <c r="BI808" s="47"/>
      <c r="BJ808" s="47"/>
      <c r="BR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  <c r="AH809" s="47"/>
      <c r="AI809" s="47"/>
      <c r="AJ809" s="47"/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58"/>
      <c r="BD809" s="47"/>
      <c r="BE809" s="47"/>
      <c r="BF809" s="47"/>
      <c r="BG809" s="47"/>
      <c r="BH809" s="47"/>
      <c r="BI809" s="47"/>
      <c r="BJ809" s="47"/>
      <c r="BR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  <c r="AH810" s="47"/>
      <c r="AI810" s="47"/>
      <c r="AJ810" s="47"/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58"/>
      <c r="BD810" s="47"/>
      <c r="BE810" s="47"/>
      <c r="BF810" s="47"/>
      <c r="BG810" s="47"/>
      <c r="BH810" s="47"/>
      <c r="BI810" s="47"/>
      <c r="BJ810" s="47"/>
      <c r="BR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  <c r="AH811" s="47"/>
      <c r="AI811" s="47"/>
      <c r="AJ811" s="47"/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58"/>
      <c r="BD811" s="47"/>
      <c r="BE811" s="47"/>
      <c r="BF811" s="47"/>
      <c r="BG811" s="47"/>
      <c r="BH811" s="47"/>
      <c r="BI811" s="47"/>
      <c r="BJ811" s="47"/>
      <c r="BR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  <c r="AH812" s="47"/>
      <c r="AI812" s="47"/>
      <c r="AJ812" s="47"/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58"/>
      <c r="BD812" s="47"/>
      <c r="BE812" s="47"/>
      <c r="BF812" s="47"/>
      <c r="BG812" s="47"/>
      <c r="BH812" s="47"/>
      <c r="BI812" s="47"/>
      <c r="BJ812" s="47"/>
      <c r="BR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  <c r="AH813" s="47"/>
      <c r="AI813" s="47"/>
      <c r="AJ813" s="47"/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58"/>
      <c r="BD813" s="47"/>
      <c r="BE813" s="47"/>
      <c r="BF813" s="47"/>
      <c r="BG813" s="47"/>
      <c r="BH813" s="47"/>
      <c r="BI813" s="47"/>
      <c r="BJ813" s="47"/>
      <c r="BR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  <c r="AH814" s="47"/>
      <c r="AI814" s="47"/>
      <c r="AJ814" s="47"/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58"/>
      <c r="BD814" s="47"/>
      <c r="BE814" s="47"/>
      <c r="BF814" s="47"/>
      <c r="BG814" s="47"/>
      <c r="BH814" s="47"/>
      <c r="BI814" s="47"/>
      <c r="BJ814" s="47"/>
      <c r="BR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  <c r="AH815" s="47"/>
      <c r="AI815" s="47"/>
      <c r="AJ815" s="47"/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58"/>
      <c r="BD815" s="47"/>
      <c r="BE815" s="47"/>
      <c r="BF815" s="47"/>
      <c r="BG815" s="47"/>
      <c r="BH815" s="47"/>
      <c r="BI815" s="47"/>
      <c r="BJ815" s="47"/>
      <c r="BR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  <c r="AH816" s="47"/>
      <c r="AI816" s="47"/>
      <c r="AJ816" s="47"/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58"/>
      <c r="BD816" s="47"/>
      <c r="BE816" s="47"/>
      <c r="BF816" s="47"/>
      <c r="BG816" s="47"/>
      <c r="BH816" s="47"/>
      <c r="BI816" s="47"/>
      <c r="BJ816" s="47"/>
      <c r="BR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  <c r="AH817" s="47"/>
      <c r="AI817" s="47"/>
      <c r="AJ817" s="47"/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58"/>
      <c r="BD817" s="47"/>
      <c r="BE817" s="47"/>
      <c r="BF817" s="47"/>
      <c r="BG817" s="47"/>
      <c r="BH817" s="47"/>
      <c r="BI817" s="47"/>
      <c r="BJ817" s="47"/>
      <c r="BR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  <c r="AH818" s="47"/>
      <c r="AI818" s="47"/>
      <c r="AJ818" s="47"/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58"/>
      <c r="BD818" s="47"/>
      <c r="BE818" s="47"/>
      <c r="BF818" s="47"/>
      <c r="BG818" s="47"/>
      <c r="BH818" s="47"/>
      <c r="BI818" s="47"/>
      <c r="BJ818" s="47"/>
      <c r="BR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  <c r="AH819" s="47"/>
      <c r="AI819" s="47"/>
      <c r="AJ819" s="47"/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58"/>
      <c r="BD819" s="47"/>
      <c r="BE819" s="47"/>
      <c r="BF819" s="47"/>
      <c r="BG819" s="47"/>
      <c r="BH819" s="47"/>
      <c r="BI819" s="47"/>
      <c r="BJ819" s="47"/>
      <c r="BR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  <c r="AH820" s="47"/>
      <c r="AI820" s="47"/>
      <c r="AJ820" s="47"/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58"/>
      <c r="BD820" s="47"/>
      <c r="BE820" s="47"/>
      <c r="BF820" s="47"/>
      <c r="BG820" s="47"/>
      <c r="BH820" s="47"/>
      <c r="BI820" s="47"/>
      <c r="BJ820" s="47"/>
      <c r="BR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  <c r="AH821" s="47"/>
      <c r="AI821" s="47"/>
      <c r="AJ821" s="47"/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58"/>
      <c r="BD821" s="47"/>
      <c r="BE821" s="47"/>
      <c r="BF821" s="47"/>
      <c r="BG821" s="47"/>
      <c r="BH821" s="47"/>
      <c r="BI821" s="47"/>
      <c r="BJ821" s="47"/>
      <c r="BR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58"/>
      <c r="BD822" s="47"/>
      <c r="BE822" s="47"/>
      <c r="BF822" s="47"/>
      <c r="BG822" s="47"/>
      <c r="BH822" s="47"/>
      <c r="BI822" s="47"/>
      <c r="BJ822" s="47"/>
      <c r="BR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  <c r="AH823" s="47"/>
      <c r="AI823" s="47"/>
      <c r="AJ823" s="47"/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58"/>
      <c r="BD823" s="47"/>
      <c r="BE823" s="47"/>
      <c r="BF823" s="47"/>
      <c r="BG823" s="47"/>
      <c r="BH823" s="47"/>
      <c r="BI823" s="47"/>
      <c r="BJ823" s="47"/>
      <c r="BR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  <c r="AH824" s="47"/>
      <c r="AI824" s="47"/>
      <c r="AJ824" s="47"/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58"/>
      <c r="BD824" s="47"/>
      <c r="BE824" s="47"/>
      <c r="BF824" s="47"/>
      <c r="BG824" s="47"/>
      <c r="BH824" s="47"/>
      <c r="BI824" s="47"/>
      <c r="BJ824" s="47"/>
      <c r="BR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  <c r="AH825" s="47"/>
      <c r="AI825" s="47"/>
      <c r="AJ825" s="47"/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58"/>
      <c r="BD825" s="47"/>
      <c r="BE825" s="47"/>
      <c r="BF825" s="47"/>
      <c r="BG825" s="47"/>
      <c r="BH825" s="47"/>
      <c r="BI825" s="47"/>
      <c r="BJ825" s="47"/>
      <c r="BR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  <c r="AH826" s="47"/>
      <c r="AI826" s="47"/>
      <c r="AJ826" s="47"/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58"/>
      <c r="BD826" s="47"/>
      <c r="BE826" s="47"/>
      <c r="BF826" s="47"/>
      <c r="BG826" s="47"/>
      <c r="BH826" s="47"/>
      <c r="BI826" s="47"/>
      <c r="BJ826" s="47"/>
      <c r="BR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  <c r="AH827" s="47"/>
      <c r="AI827" s="47"/>
      <c r="AJ827" s="47"/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58"/>
      <c r="BD827" s="47"/>
      <c r="BE827" s="47"/>
      <c r="BF827" s="47"/>
      <c r="BG827" s="47"/>
      <c r="BH827" s="47"/>
      <c r="BI827" s="47"/>
      <c r="BJ827" s="47"/>
      <c r="BR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  <c r="AH828" s="47"/>
      <c r="AI828" s="47"/>
      <c r="AJ828" s="47"/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58"/>
      <c r="BD828" s="47"/>
      <c r="BE828" s="47"/>
      <c r="BF828" s="47"/>
      <c r="BG828" s="47"/>
      <c r="BH828" s="47"/>
      <c r="BI828" s="47"/>
      <c r="BJ828" s="47"/>
      <c r="BR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  <c r="AH829" s="47"/>
      <c r="AI829" s="47"/>
      <c r="AJ829" s="47"/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58"/>
      <c r="BD829" s="47"/>
      <c r="BE829" s="47"/>
      <c r="BF829" s="47"/>
      <c r="BG829" s="47"/>
      <c r="BH829" s="47"/>
      <c r="BI829" s="47"/>
      <c r="BJ829" s="47"/>
      <c r="BR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  <c r="AH830" s="47"/>
      <c r="AI830" s="47"/>
      <c r="AJ830" s="47"/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58"/>
      <c r="BD830" s="47"/>
      <c r="BE830" s="47"/>
      <c r="BF830" s="47"/>
      <c r="BG830" s="47"/>
      <c r="BH830" s="47"/>
      <c r="BI830" s="47"/>
      <c r="BJ830" s="47"/>
      <c r="BR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  <c r="AH831" s="47"/>
      <c r="AI831" s="47"/>
      <c r="AJ831" s="47"/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58"/>
      <c r="BD831" s="47"/>
      <c r="BE831" s="47"/>
      <c r="BF831" s="47"/>
      <c r="BG831" s="47"/>
      <c r="BH831" s="47"/>
      <c r="BI831" s="47"/>
      <c r="BJ831" s="47"/>
      <c r="BR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  <c r="AH832" s="47"/>
      <c r="AI832" s="47"/>
      <c r="AJ832" s="47"/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58"/>
      <c r="BD832" s="47"/>
      <c r="BE832" s="47"/>
      <c r="BF832" s="47"/>
      <c r="BG832" s="47"/>
      <c r="BH832" s="47"/>
      <c r="BI832" s="47"/>
      <c r="BJ832" s="47"/>
      <c r="BR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  <c r="AH833" s="47"/>
      <c r="AI833" s="47"/>
      <c r="AJ833" s="47"/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58"/>
      <c r="BD833" s="47"/>
      <c r="BE833" s="47"/>
      <c r="BF833" s="47"/>
      <c r="BG833" s="47"/>
      <c r="BH833" s="47"/>
      <c r="BI833" s="47"/>
      <c r="BJ833" s="47"/>
      <c r="BR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  <c r="AH834" s="47"/>
      <c r="AI834" s="47"/>
      <c r="AJ834" s="47"/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58"/>
      <c r="BD834" s="47"/>
      <c r="BE834" s="47"/>
      <c r="BF834" s="47"/>
      <c r="BG834" s="47"/>
      <c r="BH834" s="47"/>
      <c r="BI834" s="47"/>
      <c r="BJ834" s="47"/>
      <c r="BR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  <c r="AH835" s="47"/>
      <c r="AI835" s="47"/>
      <c r="AJ835" s="47"/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58"/>
      <c r="BD835" s="47"/>
      <c r="BE835" s="47"/>
      <c r="BF835" s="47"/>
      <c r="BG835" s="47"/>
      <c r="BH835" s="47"/>
      <c r="BI835" s="47"/>
      <c r="BJ835" s="47"/>
      <c r="BR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  <c r="AH836" s="47"/>
      <c r="AI836" s="47"/>
      <c r="AJ836" s="47"/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58"/>
      <c r="BD836" s="47"/>
      <c r="BE836" s="47"/>
      <c r="BF836" s="47"/>
      <c r="BG836" s="47"/>
      <c r="BH836" s="47"/>
      <c r="BI836" s="47"/>
      <c r="BJ836" s="47"/>
      <c r="BR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47"/>
      <c r="AI837" s="47"/>
      <c r="AJ837" s="47"/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58"/>
      <c r="BD837" s="47"/>
      <c r="BE837" s="47"/>
      <c r="BF837" s="47"/>
      <c r="BG837" s="47"/>
      <c r="BH837" s="47"/>
      <c r="BI837" s="47"/>
      <c r="BJ837" s="47"/>
      <c r="BR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47"/>
      <c r="AI838" s="47"/>
      <c r="AJ838" s="47"/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58"/>
      <c r="BD838" s="47"/>
      <c r="BE838" s="47"/>
      <c r="BF838" s="47"/>
      <c r="BG838" s="47"/>
      <c r="BH838" s="47"/>
      <c r="BI838" s="47"/>
      <c r="BJ838" s="47"/>
      <c r="BR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47"/>
      <c r="AI839" s="47"/>
      <c r="AJ839" s="47"/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58"/>
      <c r="BD839" s="47"/>
      <c r="BE839" s="47"/>
      <c r="BF839" s="47"/>
      <c r="BG839" s="47"/>
      <c r="BH839" s="47"/>
      <c r="BI839" s="47"/>
      <c r="BJ839" s="47"/>
      <c r="BR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47"/>
      <c r="AI840" s="47"/>
      <c r="AJ840" s="47"/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58"/>
      <c r="BD840" s="47"/>
      <c r="BE840" s="47"/>
      <c r="BF840" s="47"/>
      <c r="BG840" s="47"/>
      <c r="BH840" s="47"/>
      <c r="BI840" s="47"/>
      <c r="BJ840" s="47"/>
      <c r="BR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47"/>
      <c r="AI841" s="47"/>
      <c r="AJ841" s="47"/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58"/>
      <c r="BD841" s="47"/>
      <c r="BE841" s="47"/>
      <c r="BF841" s="47"/>
      <c r="BG841" s="47"/>
      <c r="BH841" s="47"/>
      <c r="BI841" s="47"/>
      <c r="BJ841" s="47"/>
      <c r="BR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47"/>
      <c r="AI842" s="47"/>
      <c r="AJ842" s="47"/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58"/>
      <c r="BD842" s="47"/>
      <c r="BE842" s="47"/>
      <c r="BF842" s="47"/>
      <c r="BG842" s="47"/>
      <c r="BH842" s="47"/>
      <c r="BI842" s="47"/>
      <c r="BJ842" s="47"/>
      <c r="BR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47"/>
      <c r="AI843" s="47"/>
      <c r="AJ843" s="47"/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58"/>
      <c r="BD843" s="47"/>
      <c r="BE843" s="47"/>
      <c r="BF843" s="47"/>
      <c r="BG843" s="47"/>
      <c r="BH843" s="47"/>
      <c r="BI843" s="47"/>
      <c r="BJ843" s="47"/>
      <c r="BR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47"/>
      <c r="AI844" s="47"/>
      <c r="AJ844" s="47"/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58"/>
      <c r="BD844" s="47"/>
      <c r="BE844" s="47"/>
      <c r="BF844" s="47"/>
      <c r="BG844" s="47"/>
      <c r="BH844" s="47"/>
      <c r="BI844" s="47"/>
      <c r="BJ844" s="47"/>
      <c r="BR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47"/>
      <c r="AI845" s="47"/>
      <c r="AJ845" s="47"/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58"/>
      <c r="BD845" s="47"/>
      <c r="BE845" s="47"/>
      <c r="BF845" s="47"/>
      <c r="BG845" s="47"/>
      <c r="BH845" s="47"/>
      <c r="BI845" s="47"/>
      <c r="BJ845" s="47"/>
      <c r="BR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47"/>
      <c r="AI846" s="47"/>
      <c r="AJ846" s="47"/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58"/>
      <c r="BD846" s="47"/>
      <c r="BE846" s="47"/>
      <c r="BF846" s="47"/>
      <c r="BG846" s="47"/>
      <c r="BH846" s="47"/>
      <c r="BI846" s="47"/>
      <c r="BJ846" s="47"/>
      <c r="BR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47"/>
      <c r="AI847" s="47"/>
      <c r="AJ847" s="47"/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58"/>
      <c r="BD847" s="47"/>
      <c r="BE847" s="47"/>
      <c r="BF847" s="47"/>
      <c r="BG847" s="47"/>
      <c r="BH847" s="47"/>
      <c r="BI847" s="47"/>
      <c r="BJ847" s="47"/>
      <c r="BR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47"/>
      <c r="AI848" s="47"/>
      <c r="AJ848" s="47"/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58"/>
      <c r="BD848" s="47"/>
      <c r="BE848" s="47"/>
      <c r="BF848" s="47"/>
      <c r="BG848" s="47"/>
      <c r="BH848" s="47"/>
      <c r="BI848" s="47"/>
      <c r="BJ848" s="47"/>
      <c r="BR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47"/>
      <c r="AI849" s="47"/>
      <c r="AJ849" s="47"/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58"/>
      <c r="BD849" s="47"/>
      <c r="BE849" s="47"/>
      <c r="BF849" s="47"/>
      <c r="BG849" s="47"/>
      <c r="BH849" s="47"/>
      <c r="BI849" s="47"/>
      <c r="BJ849" s="47"/>
      <c r="BR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47"/>
      <c r="AI850" s="47"/>
      <c r="AJ850" s="47"/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58"/>
      <c r="BD850" s="47"/>
      <c r="BE850" s="47"/>
      <c r="BF850" s="47"/>
      <c r="BG850" s="47"/>
      <c r="BH850" s="47"/>
      <c r="BI850" s="47"/>
      <c r="BJ850" s="47"/>
      <c r="BR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47"/>
      <c r="AI851" s="47"/>
      <c r="AJ851" s="47"/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58"/>
      <c r="BD851" s="47"/>
      <c r="BE851" s="47"/>
      <c r="BF851" s="47"/>
      <c r="BG851" s="47"/>
      <c r="BH851" s="47"/>
      <c r="BI851" s="47"/>
      <c r="BJ851" s="47"/>
      <c r="BR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47"/>
      <c r="AI852" s="47"/>
      <c r="AJ852" s="47"/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58"/>
      <c r="BD852" s="47"/>
      <c r="BE852" s="47"/>
      <c r="BF852" s="47"/>
      <c r="BG852" s="47"/>
      <c r="BH852" s="47"/>
      <c r="BI852" s="47"/>
      <c r="BJ852" s="47"/>
      <c r="BR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47"/>
      <c r="AI853" s="47"/>
      <c r="AJ853" s="47"/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58"/>
      <c r="BD853" s="47"/>
      <c r="BE853" s="47"/>
      <c r="BF853" s="47"/>
      <c r="BG853" s="47"/>
      <c r="BH853" s="47"/>
      <c r="BI853" s="47"/>
      <c r="BJ853" s="47"/>
      <c r="BR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47"/>
      <c r="AI854" s="47"/>
      <c r="AJ854" s="47"/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58"/>
      <c r="BD854" s="47"/>
      <c r="BE854" s="47"/>
      <c r="BF854" s="47"/>
      <c r="BG854" s="47"/>
      <c r="BH854" s="47"/>
      <c r="BI854" s="47"/>
      <c r="BJ854" s="47"/>
      <c r="BR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47"/>
      <c r="AI855" s="47"/>
      <c r="AJ855" s="47"/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58"/>
      <c r="BD855" s="47"/>
      <c r="BE855" s="47"/>
      <c r="BF855" s="47"/>
      <c r="BG855" s="47"/>
      <c r="BH855" s="47"/>
      <c r="BI855" s="47"/>
      <c r="BJ855" s="47"/>
      <c r="BR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47"/>
      <c r="AI856" s="47"/>
      <c r="AJ856" s="47"/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58"/>
      <c r="BD856" s="47"/>
      <c r="BE856" s="47"/>
      <c r="BF856" s="47"/>
      <c r="BG856" s="47"/>
      <c r="BH856" s="47"/>
      <c r="BI856" s="47"/>
      <c r="BJ856" s="47"/>
      <c r="BR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47"/>
      <c r="AI857" s="47"/>
      <c r="AJ857" s="47"/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58"/>
      <c r="BD857" s="47"/>
      <c r="BE857" s="47"/>
      <c r="BF857" s="47"/>
      <c r="BG857" s="47"/>
      <c r="BH857" s="47"/>
      <c r="BI857" s="47"/>
      <c r="BJ857" s="47"/>
      <c r="BR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47"/>
      <c r="AI858" s="47"/>
      <c r="AJ858" s="47"/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58"/>
      <c r="BD858" s="47"/>
      <c r="BE858" s="47"/>
      <c r="BF858" s="47"/>
      <c r="BG858" s="47"/>
      <c r="BH858" s="47"/>
      <c r="BI858" s="47"/>
      <c r="BJ858" s="47"/>
      <c r="BR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47"/>
      <c r="AI859" s="47"/>
      <c r="AJ859" s="47"/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58"/>
      <c r="BD859" s="47"/>
      <c r="BE859" s="47"/>
      <c r="BF859" s="47"/>
      <c r="BG859" s="47"/>
      <c r="BH859" s="47"/>
      <c r="BI859" s="47"/>
      <c r="BJ859" s="47"/>
      <c r="BR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58"/>
      <c r="BD860" s="47"/>
      <c r="BE860" s="47"/>
      <c r="BF860" s="47"/>
      <c r="BG860" s="47"/>
      <c r="BH860" s="47"/>
      <c r="BI860" s="47"/>
      <c r="BJ860" s="47"/>
      <c r="BR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  <c r="AH861" s="47"/>
      <c r="AI861" s="47"/>
      <c r="AJ861" s="47"/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58"/>
      <c r="BD861" s="47"/>
      <c r="BE861" s="47"/>
      <c r="BF861" s="47"/>
      <c r="BG861" s="47"/>
      <c r="BH861" s="47"/>
      <c r="BI861" s="47"/>
      <c r="BJ861" s="47"/>
      <c r="BR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  <c r="AH862" s="47"/>
      <c r="AI862" s="47"/>
      <c r="AJ862" s="47"/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58"/>
      <c r="BD862" s="47"/>
      <c r="BE862" s="47"/>
      <c r="BF862" s="47"/>
      <c r="BG862" s="47"/>
      <c r="BH862" s="47"/>
      <c r="BI862" s="47"/>
      <c r="BJ862" s="47"/>
      <c r="BR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  <c r="AH863" s="47"/>
      <c r="AI863" s="47"/>
      <c r="AJ863" s="47"/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58"/>
      <c r="BD863" s="47"/>
      <c r="BE863" s="47"/>
      <c r="BF863" s="47"/>
      <c r="BG863" s="47"/>
      <c r="BH863" s="47"/>
      <c r="BI863" s="47"/>
      <c r="BJ863" s="47"/>
      <c r="BR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  <c r="AH864" s="47"/>
      <c r="AI864" s="47"/>
      <c r="AJ864" s="47"/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58"/>
      <c r="BD864" s="47"/>
      <c r="BE864" s="47"/>
      <c r="BF864" s="47"/>
      <c r="BG864" s="47"/>
      <c r="BH864" s="47"/>
      <c r="BI864" s="47"/>
      <c r="BJ864" s="47"/>
      <c r="BR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  <c r="AH865" s="47"/>
      <c r="AI865" s="47"/>
      <c r="AJ865" s="47"/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58"/>
      <c r="BD865" s="47"/>
      <c r="BE865" s="47"/>
      <c r="BF865" s="47"/>
      <c r="BG865" s="47"/>
      <c r="BH865" s="47"/>
      <c r="BI865" s="47"/>
      <c r="BJ865" s="47"/>
      <c r="BR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  <c r="AH866" s="47"/>
      <c r="AI866" s="47"/>
      <c r="AJ866" s="47"/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58"/>
      <c r="BD866" s="47"/>
      <c r="BE866" s="47"/>
      <c r="BF866" s="47"/>
      <c r="BG866" s="47"/>
      <c r="BH866" s="47"/>
      <c r="BI866" s="47"/>
      <c r="BJ866" s="47"/>
      <c r="BR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  <c r="AH867" s="47"/>
      <c r="AI867" s="47"/>
      <c r="AJ867" s="47"/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58"/>
      <c r="BD867" s="47"/>
      <c r="BE867" s="47"/>
      <c r="BF867" s="47"/>
      <c r="BG867" s="47"/>
      <c r="BH867" s="47"/>
      <c r="BI867" s="47"/>
      <c r="BJ867" s="47"/>
      <c r="BR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  <c r="AH868" s="47"/>
      <c r="AI868" s="47"/>
      <c r="AJ868" s="47"/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58"/>
      <c r="BD868" s="47"/>
      <c r="BE868" s="47"/>
      <c r="BF868" s="47"/>
      <c r="BG868" s="47"/>
      <c r="BH868" s="47"/>
      <c r="BI868" s="47"/>
      <c r="BJ868" s="47"/>
      <c r="BR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  <c r="AH869" s="47"/>
      <c r="AI869" s="47"/>
      <c r="AJ869" s="47"/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58"/>
      <c r="BD869" s="47"/>
      <c r="BE869" s="47"/>
      <c r="BF869" s="47"/>
      <c r="BG869" s="47"/>
      <c r="BH869" s="47"/>
      <c r="BI869" s="47"/>
      <c r="BJ869" s="47"/>
      <c r="BR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  <c r="AH870" s="47"/>
      <c r="AI870" s="47"/>
      <c r="AJ870" s="47"/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58"/>
      <c r="BD870" s="47"/>
      <c r="BE870" s="47"/>
      <c r="BF870" s="47"/>
      <c r="BG870" s="47"/>
      <c r="BH870" s="47"/>
      <c r="BI870" s="47"/>
      <c r="BJ870" s="47"/>
      <c r="BR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  <c r="AH871" s="47"/>
      <c r="AI871" s="47"/>
      <c r="AJ871" s="47"/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58"/>
      <c r="BD871" s="47"/>
      <c r="BE871" s="47"/>
      <c r="BF871" s="47"/>
      <c r="BG871" s="47"/>
      <c r="BH871" s="47"/>
      <c r="BI871" s="47"/>
      <c r="BJ871" s="47"/>
      <c r="BR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  <c r="AH872" s="47"/>
      <c r="AI872" s="47"/>
      <c r="AJ872" s="47"/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58"/>
      <c r="BD872" s="47"/>
      <c r="BE872" s="47"/>
      <c r="BF872" s="47"/>
      <c r="BG872" s="47"/>
      <c r="BH872" s="47"/>
      <c r="BI872" s="47"/>
      <c r="BJ872" s="47"/>
      <c r="BR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  <c r="AH873" s="47"/>
      <c r="AI873" s="47"/>
      <c r="AJ873" s="47"/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58"/>
      <c r="BD873" s="47"/>
      <c r="BE873" s="47"/>
      <c r="BF873" s="47"/>
      <c r="BG873" s="47"/>
      <c r="BH873" s="47"/>
      <c r="BI873" s="47"/>
      <c r="BJ873" s="47"/>
      <c r="BR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  <c r="AH874" s="47"/>
      <c r="AI874" s="47"/>
      <c r="AJ874" s="47"/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58"/>
      <c r="BD874" s="47"/>
      <c r="BE874" s="47"/>
      <c r="BF874" s="47"/>
      <c r="BG874" s="47"/>
      <c r="BH874" s="47"/>
      <c r="BI874" s="47"/>
      <c r="BJ874" s="47"/>
      <c r="BR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  <c r="AH875" s="47"/>
      <c r="AI875" s="47"/>
      <c r="AJ875" s="47"/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58"/>
      <c r="BD875" s="47"/>
      <c r="BE875" s="47"/>
      <c r="BF875" s="47"/>
      <c r="BG875" s="47"/>
      <c r="BH875" s="47"/>
      <c r="BI875" s="47"/>
      <c r="BJ875" s="47"/>
      <c r="BR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  <c r="AH876" s="47"/>
      <c r="AI876" s="47"/>
      <c r="AJ876" s="47"/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58"/>
      <c r="BD876" s="47"/>
      <c r="BE876" s="47"/>
      <c r="BF876" s="47"/>
      <c r="BG876" s="47"/>
      <c r="BH876" s="47"/>
      <c r="BI876" s="47"/>
      <c r="BJ876" s="47"/>
      <c r="BR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  <c r="AH877" s="47"/>
      <c r="AI877" s="47"/>
      <c r="AJ877" s="47"/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58"/>
      <c r="BD877" s="47"/>
      <c r="BE877" s="47"/>
      <c r="BF877" s="47"/>
      <c r="BG877" s="47"/>
      <c r="BH877" s="47"/>
      <c r="BI877" s="47"/>
      <c r="BJ877" s="47"/>
      <c r="BR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  <c r="AH878" s="47"/>
      <c r="AI878" s="47"/>
      <c r="AJ878" s="47"/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58"/>
      <c r="BD878" s="47"/>
      <c r="BE878" s="47"/>
      <c r="BF878" s="47"/>
      <c r="BG878" s="47"/>
      <c r="BH878" s="47"/>
      <c r="BI878" s="47"/>
      <c r="BJ878" s="47"/>
      <c r="BR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  <c r="AH879" s="47"/>
      <c r="AI879" s="47"/>
      <c r="AJ879" s="47"/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58"/>
      <c r="BD879" s="47"/>
      <c r="BE879" s="47"/>
      <c r="BF879" s="47"/>
      <c r="BG879" s="47"/>
      <c r="BH879" s="47"/>
      <c r="BI879" s="47"/>
      <c r="BJ879" s="47"/>
      <c r="BR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  <c r="AH880" s="47"/>
      <c r="AI880" s="47"/>
      <c r="AJ880" s="47"/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58"/>
      <c r="BD880" s="47"/>
      <c r="BE880" s="47"/>
      <c r="BF880" s="47"/>
      <c r="BG880" s="47"/>
      <c r="BH880" s="47"/>
      <c r="BI880" s="47"/>
      <c r="BJ880" s="47"/>
      <c r="BR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  <c r="AH881" s="47"/>
      <c r="AI881" s="47"/>
      <c r="AJ881" s="47"/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58"/>
      <c r="BD881" s="47"/>
      <c r="BE881" s="47"/>
      <c r="BF881" s="47"/>
      <c r="BG881" s="47"/>
      <c r="BH881" s="47"/>
      <c r="BI881" s="47"/>
      <c r="BJ881" s="47"/>
      <c r="BR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  <c r="AH882" s="47"/>
      <c r="AI882" s="47"/>
      <c r="AJ882" s="47"/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58"/>
      <c r="BD882" s="47"/>
      <c r="BE882" s="47"/>
      <c r="BF882" s="47"/>
      <c r="BG882" s="47"/>
      <c r="BH882" s="47"/>
      <c r="BI882" s="47"/>
      <c r="BJ882" s="47"/>
      <c r="BR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  <c r="AH883" s="47"/>
      <c r="AI883" s="47"/>
      <c r="AJ883" s="47"/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58"/>
      <c r="BD883" s="47"/>
      <c r="BE883" s="47"/>
      <c r="BF883" s="47"/>
      <c r="BG883" s="47"/>
      <c r="BH883" s="47"/>
      <c r="BI883" s="47"/>
      <c r="BJ883" s="47"/>
      <c r="BR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  <c r="AH884" s="47"/>
      <c r="AI884" s="47"/>
      <c r="AJ884" s="47"/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58"/>
      <c r="BD884" s="47"/>
      <c r="BE884" s="47"/>
      <c r="BF884" s="47"/>
      <c r="BG884" s="47"/>
      <c r="BH884" s="47"/>
      <c r="BI884" s="47"/>
      <c r="BJ884" s="47"/>
      <c r="BR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  <c r="AH885" s="47"/>
      <c r="AI885" s="47"/>
      <c r="AJ885" s="47"/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58"/>
      <c r="BD885" s="47"/>
      <c r="BE885" s="47"/>
      <c r="BF885" s="47"/>
      <c r="BG885" s="47"/>
      <c r="BH885" s="47"/>
      <c r="BI885" s="47"/>
      <c r="BJ885" s="47"/>
      <c r="BR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  <c r="AH886" s="47"/>
      <c r="AI886" s="47"/>
      <c r="AJ886" s="47"/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58"/>
      <c r="BD886" s="47"/>
      <c r="BE886" s="47"/>
      <c r="BF886" s="47"/>
      <c r="BG886" s="47"/>
      <c r="BH886" s="47"/>
      <c r="BI886" s="47"/>
      <c r="BJ886" s="47"/>
      <c r="BR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  <c r="AH887" s="47"/>
      <c r="AI887" s="47"/>
      <c r="AJ887" s="47"/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58"/>
      <c r="BD887" s="47"/>
      <c r="BE887" s="47"/>
      <c r="BF887" s="47"/>
      <c r="BG887" s="47"/>
      <c r="BH887" s="47"/>
      <c r="BI887" s="47"/>
      <c r="BJ887" s="47"/>
      <c r="BR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  <c r="AH888" s="47"/>
      <c r="AI888" s="47"/>
      <c r="AJ888" s="47"/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58"/>
      <c r="BD888" s="47"/>
      <c r="BE888" s="47"/>
      <c r="BF888" s="47"/>
      <c r="BG888" s="47"/>
      <c r="BH888" s="47"/>
      <c r="BI888" s="47"/>
      <c r="BJ888" s="47"/>
      <c r="BR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  <c r="AH889" s="47"/>
      <c r="AI889" s="47"/>
      <c r="AJ889" s="47"/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58"/>
      <c r="BD889" s="47"/>
      <c r="BE889" s="47"/>
      <c r="BF889" s="47"/>
      <c r="BG889" s="47"/>
      <c r="BH889" s="47"/>
      <c r="BI889" s="47"/>
      <c r="BJ889" s="47"/>
      <c r="BR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  <c r="AH890" s="47"/>
      <c r="AI890" s="47"/>
      <c r="AJ890" s="47"/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58"/>
      <c r="BD890" s="47"/>
      <c r="BE890" s="47"/>
      <c r="BF890" s="47"/>
      <c r="BG890" s="47"/>
      <c r="BH890" s="47"/>
      <c r="BI890" s="47"/>
      <c r="BJ890" s="47"/>
      <c r="BR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  <c r="AH891" s="47"/>
      <c r="AI891" s="47"/>
      <c r="AJ891" s="47"/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58"/>
      <c r="BD891" s="47"/>
      <c r="BE891" s="47"/>
      <c r="BF891" s="47"/>
      <c r="BG891" s="47"/>
      <c r="BH891" s="47"/>
      <c r="BI891" s="47"/>
      <c r="BJ891" s="47"/>
      <c r="BR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  <c r="AH892" s="47"/>
      <c r="AI892" s="47"/>
      <c r="AJ892" s="47"/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58"/>
      <c r="BD892" s="47"/>
      <c r="BE892" s="47"/>
      <c r="BF892" s="47"/>
      <c r="BG892" s="47"/>
      <c r="BH892" s="47"/>
      <c r="BI892" s="47"/>
      <c r="BJ892" s="47"/>
      <c r="BR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  <c r="AH893" s="47"/>
      <c r="AI893" s="47"/>
      <c r="AJ893" s="47"/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58"/>
      <c r="BD893" s="47"/>
      <c r="BE893" s="47"/>
      <c r="BF893" s="47"/>
      <c r="BG893" s="47"/>
      <c r="BH893" s="47"/>
      <c r="BI893" s="47"/>
      <c r="BJ893" s="47"/>
      <c r="BR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  <c r="AH894" s="47"/>
      <c r="AI894" s="47"/>
      <c r="AJ894" s="47"/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58"/>
      <c r="BD894" s="47"/>
      <c r="BE894" s="47"/>
      <c r="BF894" s="47"/>
      <c r="BG894" s="47"/>
      <c r="BH894" s="47"/>
      <c r="BI894" s="47"/>
      <c r="BJ894" s="47"/>
      <c r="BR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  <c r="AH895" s="47"/>
      <c r="AI895" s="47"/>
      <c r="AJ895" s="47"/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58"/>
      <c r="BD895" s="47"/>
      <c r="BE895" s="47"/>
      <c r="BF895" s="47"/>
      <c r="BG895" s="47"/>
      <c r="BH895" s="47"/>
      <c r="BI895" s="47"/>
      <c r="BJ895" s="47"/>
      <c r="BR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  <c r="AH896" s="47"/>
      <c r="AI896" s="47"/>
      <c r="AJ896" s="47"/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58"/>
      <c r="BD896" s="47"/>
      <c r="BE896" s="47"/>
      <c r="BF896" s="47"/>
      <c r="BG896" s="47"/>
      <c r="BH896" s="47"/>
      <c r="BI896" s="47"/>
      <c r="BJ896" s="47"/>
      <c r="BR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  <c r="AH897" s="47"/>
      <c r="AI897" s="47"/>
      <c r="AJ897" s="47"/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58"/>
      <c r="BD897" s="47"/>
      <c r="BE897" s="47"/>
      <c r="BF897" s="47"/>
      <c r="BG897" s="47"/>
      <c r="BH897" s="47"/>
      <c r="BI897" s="47"/>
      <c r="BJ897" s="47"/>
      <c r="BR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58"/>
      <c r="BD898" s="47"/>
      <c r="BE898" s="47"/>
      <c r="BF898" s="47"/>
      <c r="BG898" s="47"/>
      <c r="BH898" s="47"/>
      <c r="BI898" s="47"/>
      <c r="BJ898" s="47"/>
      <c r="BR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  <c r="AH899" s="47"/>
      <c r="AI899" s="47"/>
      <c r="AJ899" s="47"/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58"/>
      <c r="BD899" s="47"/>
      <c r="BE899" s="47"/>
      <c r="BF899" s="47"/>
      <c r="BG899" s="47"/>
      <c r="BH899" s="47"/>
      <c r="BI899" s="47"/>
      <c r="BJ899" s="47"/>
      <c r="BR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  <c r="AH900" s="47"/>
      <c r="AI900" s="47"/>
      <c r="AJ900" s="47"/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58"/>
      <c r="BD900" s="47"/>
      <c r="BE900" s="47"/>
      <c r="BF900" s="47"/>
      <c r="BG900" s="47"/>
      <c r="BH900" s="47"/>
      <c r="BI900" s="47"/>
      <c r="BJ900" s="47"/>
      <c r="BR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47"/>
      <c r="AI901" s="47"/>
      <c r="AJ901" s="47"/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58"/>
      <c r="BD901" s="47"/>
      <c r="BE901" s="47"/>
      <c r="BF901" s="47"/>
      <c r="BG901" s="47"/>
      <c r="BH901" s="47"/>
      <c r="BI901" s="47"/>
      <c r="BJ901" s="47"/>
      <c r="BR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47"/>
      <c r="AI902" s="47"/>
      <c r="AJ902" s="47"/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58"/>
      <c r="BD902" s="47"/>
      <c r="BE902" s="47"/>
      <c r="BF902" s="47"/>
      <c r="BG902" s="47"/>
      <c r="BH902" s="47"/>
      <c r="BI902" s="47"/>
      <c r="BJ902" s="47"/>
      <c r="BR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47"/>
      <c r="AI903" s="47"/>
      <c r="AJ903" s="47"/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58"/>
      <c r="BD903" s="47"/>
      <c r="BE903" s="47"/>
      <c r="BF903" s="47"/>
      <c r="BG903" s="47"/>
      <c r="BH903" s="47"/>
      <c r="BI903" s="47"/>
      <c r="BJ903" s="47"/>
      <c r="BR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47"/>
      <c r="AI904" s="47"/>
      <c r="AJ904" s="47"/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58"/>
      <c r="BD904" s="47"/>
      <c r="BE904" s="47"/>
      <c r="BF904" s="47"/>
      <c r="BG904" s="47"/>
      <c r="BH904" s="47"/>
      <c r="BI904" s="47"/>
      <c r="BJ904" s="47"/>
      <c r="BR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47"/>
      <c r="AI905" s="47"/>
      <c r="AJ905" s="47"/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58"/>
      <c r="BD905" s="47"/>
      <c r="BE905" s="47"/>
      <c r="BF905" s="47"/>
      <c r="BG905" s="47"/>
      <c r="BH905" s="47"/>
      <c r="BI905" s="47"/>
      <c r="BJ905" s="47"/>
      <c r="BR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47"/>
      <c r="AI906" s="47"/>
      <c r="AJ906" s="47"/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58"/>
      <c r="BD906" s="47"/>
      <c r="BE906" s="47"/>
      <c r="BF906" s="47"/>
      <c r="BG906" s="47"/>
      <c r="BH906" s="47"/>
      <c r="BI906" s="47"/>
      <c r="BJ906" s="47"/>
      <c r="BR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47"/>
      <c r="AI907" s="47"/>
      <c r="AJ907" s="47"/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58"/>
      <c r="BD907" s="47"/>
      <c r="BE907" s="47"/>
      <c r="BF907" s="47"/>
      <c r="BG907" s="47"/>
      <c r="BH907" s="47"/>
      <c r="BI907" s="47"/>
      <c r="BJ907" s="47"/>
      <c r="BR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47"/>
      <c r="AI908" s="47"/>
      <c r="AJ908" s="47"/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58"/>
      <c r="BD908" s="47"/>
      <c r="BE908" s="47"/>
      <c r="BF908" s="47"/>
      <c r="BG908" s="47"/>
      <c r="BH908" s="47"/>
      <c r="BI908" s="47"/>
      <c r="BJ908" s="47"/>
      <c r="BR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47"/>
      <c r="AI909" s="47"/>
      <c r="AJ909" s="47"/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58"/>
      <c r="BD909" s="47"/>
      <c r="BE909" s="47"/>
      <c r="BF909" s="47"/>
      <c r="BG909" s="47"/>
      <c r="BH909" s="47"/>
      <c r="BI909" s="47"/>
      <c r="BJ909" s="47"/>
      <c r="BR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47"/>
      <c r="AI910" s="47"/>
      <c r="AJ910" s="47"/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58"/>
      <c r="BD910" s="47"/>
      <c r="BE910" s="47"/>
      <c r="BF910" s="47"/>
      <c r="BG910" s="47"/>
      <c r="BH910" s="47"/>
      <c r="BI910" s="47"/>
      <c r="BJ910" s="47"/>
      <c r="BR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47"/>
      <c r="AI911" s="47"/>
      <c r="AJ911" s="47"/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58"/>
      <c r="BD911" s="47"/>
      <c r="BE911" s="47"/>
      <c r="BF911" s="47"/>
      <c r="BG911" s="47"/>
      <c r="BH911" s="47"/>
      <c r="BI911" s="47"/>
      <c r="BJ911" s="47"/>
      <c r="BR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47"/>
      <c r="AI912" s="47"/>
      <c r="AJ912" s="47"/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58"/>
      <c r="BD912" s="47"/>
      <c r="BE912" s="47"/>
      <c r="BF912" s="47"/>
      <c r="BG912" s="47"/>
      <c r="BH912" s="47"/>
      <c r="BI912" s="47"/>
      <c r="BJ912" s="47"/>
      <c r="BR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47"/>
      <c r="AI913" s="47"/>
      <c r="AJ913" s="47"/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58"/>
      <c r="BD913" s="47"/>
      <c r="BE913" s="47"/>
      <c r="BF913" s="47"/>
      <c r="BG913" s="47"/>
      <c r="BH913" s="47"/>
      <c r="BI913" s="47"/>
      <c r="BJ913" s="47"/>
      <c r="BR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47"/>
      <c r="AI914" s="47"/>
      <c r="AJ914" s="47"/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58"/>
      <c r="BD914" s="47"/>
      <c r="BE914" s="47"/>
      <c r="BF914" s="47"/>
      <c r="BG914" s="47"/>
      <c r="BH914" s="47"/>
      <c r="BI914" s="47"/>
      <c r="BJ914" s="47"/>
      <c r="BR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47"/>
      <c r="AI915" s="47"/>
      <c r="AJ915" s="47"/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58"/>
      <c r="BD915" s="47"/>
      <c r="BE915" s="47"/>
      <c r="BF915" s="47"/>
      <c r="BG915" s="47"/>
      <c r="BH915" s="47"/>
      <c r="BI915" s="47"/>
      <c r="BJ915" s="47"/>
      <c r="BR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47"/>
      <c r="AI916" s="47"/>
      <c r="AJ916" s="47"/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58"/>
      <c r="BD916" s="47"/>
      <c r="BE916" s="47"/>
      <c r="BF916" s="47"/>
      <c r="BG916" s="47"/>
      <c r="BH916" s="47"/>
      <c r="BI916" s="47"/>
      <c r="BJ916" s="47"/>
      <c r="BR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47"/>
      <c r="AI917" s="47"/>
      <c r="AJ917" s="47"/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58"/>
      <c r="BD917" s="47"/>
      <c r="BE917" s="47"/>
      <c r="BF917" s="47"/>
      <c r="BG917" s="47"/>
      <c r="BH917" s="47"/>
      <c r="BI917" s="47"/>
      <c r="BJ917" s="47"/>
      <c r="BR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47"/>
      <c r="AI918" s="47"/>
      <c r="AJ918" s="47"/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58"/>
      <c r="BD918" s="47"/>
      <c r="BE918" s="47"/>
      <c r="BF918" s="47"/>
      <c r="BG918" s="47"/>
      <c r="BH918" s="47"/>
      <c r="BI918" s="47"/>
      <c r="BJ918" s="47"/>
      <c r="BR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47"/>
      <c r="AI919" s="47"/>
      <c r="AJ919" s="47"/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58"/>
      <c r="BD919" s="47"/>
      <c r="BE919" s="47"/>
      <c r="BF919" s="47"/>
      <c r="BG919" s="47"/>
      <c r="BH919" s="47"/>
      <c r="BI919" s="47"/>
      <c r="BJ919" s="47"/>
      <c r="BR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47"/>
      <c r="AI920" s="47"/>
      <c r="AJ920" s="47"/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58"/>
      <c r="BD920" s="47"/>
      <c r="BE920" s="47"/>
      <c r="BF920" s="47"/>
      <c r="BG920" s="47"/>
      <c r="BH920" s="47"/>
      <c r="BI920" s="47"/>
      <c r="BJ920" s="47"/>
      <c r="BR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47"/>
      <c r="AI921" s="47"/>
      <c r="AJ921" s="47"/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58"/>
      <c r="BD921" s="47"/>
      <c r="BE921" s="47"/>
      <c r="BF921" s="47"/>
      <c r="BG921" s="47"/>
      <c r="BH921" s="47"/>
      <c r="BI921" s="47"/>
      <c r="BJ921" s="47"/>
      <c r="BR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47"/>
      <c r="AI922" s="47"/>
      <c r="AJ922" s="47"/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58"/>
      <c r="BD922" s="47"/>
      <c r="BE922" s="47"/>
      <c r="BF922" s="47"/>
      <c r="BG922" s="47"/>
      <c r="BH922" s="47"/>
      <c r="BI922" s="47"/>
      <c r="BJ922" s="47"/>
      <c r="BR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47"/>
      <c r="AI923" s="47"/>
      <c r="AJ923" s="47"/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58"/>
      <c r="BD923" s="47"/>
      <c r="BE923" s="47"/>
      <c r="BF923" s="47"/>
      <c r="BG923" s="47"/>
      <c r="BH923" s="47"/>
      <c r="BI923" s="47"/>
      <c r="BJ923" s="47"/>
      <c r="BR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47"/>
      <c r="AI924" s="47"/>
      <c r="AJ924" s="47"/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58"/>
      <c r="BD924" s="47"/>
      <c r="BE924" s="47"/>
      <c r="BF924" s="47"/>
      <c r="BG924" s="47"/>
      <c r="BH924" s="47"/>
      <c r="BI924" s="47"/>
      <c r="BJ924" s="47"/>
      <c r="BR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  <c r="AH925" s="47"/>
      <c r="AI925" s="47"/>
      <c r="AJ925" s="47"/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58"/>
      <c r="BD925" s="47"/>
      <c r="BE925" s="47"/>
      <c r="BF925" s="47"/>
      <c r="BG925" s="47"/>
      <c r="BH925" s="47"/>
      <c r="BI925" s="47"/>
      <c r="BJ925" s="47"/>
      <c r="BR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  <c r="AH926" s="47"/>
      <c r="AI926" s="47"/>
      <c r="AJ926" s="47"/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58"/>
      <c r="BD926" s="47"/>
      <c r="BE926" s="47"/>
      <c r="BF926" s="47"/>
      <c r="BG926" s="47"/>
      <c r="BH926" s="47"/>
      <c r="BI926" s="47"/>
      <c r="BJ926" s="47"/>
      <c r="BR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  <c r="AH927" s="47"/>
      <c r="AI927" s="47"/>
      <c r="AJ927" s="47"/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58"/>
      <c r="BD927" s="47"/>
      <c r="BE927" s="47"/>
      <c r="BF927" s="47"/>
      <c r="BG927" s="47"/>
      <c r="BH927" s="47"/>
      <c r="BI927" s="47"/>
      <c r="BJ927" s="47"/>
      <c r="BR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  <c r="AH928" s="47"/>
      <c r="AI928" s="47"/>
      <c r="AJ928" s="47"/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58"/>
      <c r="BD928" s="47"/>
      <c r="BE928" s="47"/>
      <c r="BF928" s="47"/>
      <c r="BG928" s="47"/>
      <c r="BH928" s="47"/>
      <c r="BI928" s="47"/>
      <c r="BJ928" s="47"/>
      <c r="BR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  <c r="AH929" s="47"/>
      <c r="AI929" s="47"/>
      <c r="AJ929" s="47"/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58"/>
      <c r="BD929" s="47"/>
      <c r="BE929" s="47"/>
      <c r="BF929" s="47"/>
      <c r="BG929" s="47"/>
      <c r="BH929" s="47"/>
      <c r="BI929" s="47"/>
      <c r="BJ929" s="47"/>
      <c r="BR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  <c r="AH930" s="47"/>
      <c r="AI930" s="47"/>
      <c r="AJ930" s="47"/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58"/>
      <c r="BD930" s="47"/>
      <c r="BE930" s="47"/>
      <c r="BF930" s="47"/>
      <c r="BG930" s="47"/>
      <c r="BH930" s="47"/>
      <c r="BI930" s="47"/>
      <c r="BJ930" s="47"/>
      <c r="BR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  <c r="AH931" s="47"/>
      <c r="AI931" s="47"/>
      <c r="AJ931" s="47"/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58"/>
      <c r="BD931" s="47"/>
      <c r="BE931" s="47"/>
      <c r="BF931" s="47"/>
      <c r="BG931" s="47"/>
      <c r="BH931" s="47"/>
      <c r="BI931" s="47"/>
      <c r="BJ931" s="47"/>
      <c r="BR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  <c r="AH932" s="47"/>
      <c r="AI932" s="47"/>
      <c r="AJ932" s="47"/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58"/>
      <c r="BD932" s="47"/>
      <c r="BE932" s="47"/>
      <c r="BF932" s="47"/>
      <c r="BG932" s="47"/>
      <c r="BH932" s="47"/>
      <c r="BI932" s="47"/>
      <c r="BJ932" s="47"/>
      <c r="BR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  <c r="AH933" s="47"/>
      <c r="AI933" s="47"/>
      <c r="AJ933" s="47"/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58"/>
      <c r="BD933" s="47"/>
      <c r="BE933" s="47"/>
      <c r="BF933" s="47"/>
      <c r="BG933" s="47"/>
      <c r="BH933" s="47"/>
      <c r="BI933" s="47"/>
      <c r="BJ933" s="47"/>
      <c r="BR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  <c r="AH934" s="47"/>
      <c r="AI934" s="47"/>
      <c r="AJ934" s="47"/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58"/>
      <c r="BD934" s="47"/>
      <c r="BE934" s="47"/>
      <c r="BF934" s="47"/>
      <c r="BG934" s="47"/>
      <c r="BH934" s="47"/>
      <c r="BI934" s="47"/>
      <c r="BJ934" s="47"/>
      <c r="BR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  <c r="AH935" s="47"/>
      <c r="AI935" s="47"/>
      <c r="AJ935" s="47"/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58"/>
      <c r="BD935" s="47"/>
      <c r="BE935" s="47"/>
      <c r="BF935" s="47"/>
      <c r="BG935" s="47"/>
      <c r="BH935" s="47"/>
      <c r="BI935" s="47"/>
      <c r="BJ935" s="47"/>
      <c r="BR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58"/>
      <c r="BD936" s="47"/>
      <c r="BE936" s="47"/>
      <c r="BF936" s="47"/>
      <c r="BG936" s="47"/>
      <c r="BH936" s="47"/>
      <c r="BI936" s="47"/>
      <c r="BJ936" s="47"/>
      <c r="BR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  <c r="AH937" s="47"/>
      <c r="AI937" s="47"/>
      <c r="AJ937" s="47"/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58"/>
      <c r="BD937" s="47"/>
      <c r="BE937" s="47"/>
      <c r="BF937" s="47"/>
      <c r="BG937" s="47"/>
      <c r="BH937" s="47"/>
      <c r="BI937" s="47"/>
      <c r="BJ937" s="47"/>
      <c r="BR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  <c r="AH938" s="47"/>
      <c r="AI938" s="47"/>
      <c r="AJ938" s="47"/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58"/>
      <c r="BD938" s="47"/>
      <c r="BE938" s="47"/>
      <c r="BF938" s="47"/>
      <c r="BG938" s="47"/>
      <c r="BH938" s="47"/>
      <c r="BI938" s="47"/>
      <c r="BJ938" s="47"/>
      <c r="BR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  <c r="AH939" s="47"/>
      <c r="AI939" s="47"/>
      <c r="AJ939" s="47"/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58"/>
      <c r="BD939" s="47"/>
      <c r="BE939" s="47"/>
      <c r="BF939" s="47"/>
      <c r="BG939" s="47"/>
      <c r="BH939" s="47"/>
      <c r="BI939" s="47"/>
      <c r="BJ939" s="47"/>
      <c r="BR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  <c r="AH940" s="47"/>
      <c r="AI940" s="47"/>
      <c r="AJ940" s="47"/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58"/>
      <c r="BD940" s="47"/>
      <c r="BE940" s="47"/>
      <c r="BF940" s="47"/>
      <c r="BG940" s="47"/>
      <c r="BH940" s="47"/>
      <c r="BI940" s="47"/>
      <c r="BJ940" s="47"/>
      <c r="BR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  <c r="AH941" s="47"/>
      <c r="AI941" s="47"/>
      <c r="AJ941" s="47"/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58"/>
      <c r="BD941" s="47"/>
      <c r="BE941" s="47"/>
      <c r="BF941" s="47"/>
      <c r="BG941" s="47"/>
      <c r="BH941" s="47"/>
      <c r="BI941" s="47"/>
      <c r="BJ941" s="47"/>
      <c r="BR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  <c r="AH942" s="47"/>
      <c r="AI942" s="47"/>
      <c r="AJ942" s="47"/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58"/>
      <c r="BD942" s="47"/>
      <c r="BE942" s="47"/>
      <c r="BF942" s="47"/>
      <c r="BG942" s="47"/>
      <c r="BH942" s="47"/>
      <c r="BI942" s="47"/>
      <c r="BJ942" s="47"/>
      <c r="BR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  <c r="AH943" s="47"/>
      <c r="AI943" s="47"/>
      <c r="AJ943" s="47"/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58"/>
      <c r="BD943" s="47"/>
      <c r="BE943" s="47"/>
      <c r="BF943" s="47"/>
      <c r="BG943" s="47"/>
      <c r="BH943" s="47"/>
      <c r="BI943" s="47"/>
      <c r="BJ943" s="47"/>
      <c r="BR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  <c r="AH944" s="47"/>
      <c r="AI944" s="47"/>
      <c r="AJ944" s="47"/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58"/>
      <c r="BD944" s="47"/>
      <c r="BE944" s="47"/>
      <c r="BF944" s="47"/>
      <c r="BG944" s="47"/>
      <c r="BH944" s="47"/>
      <c r="BI944" s="47"/>
      <c r="BJ944" s="47"/>
      <c r="BR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  <c r="AH945" s="47"/>
      <c r="AI945" s="47"/>
      <c r="AJ945" s="47"/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58"/>
      <c r="BD945" s="47"/>
      <c r="BE945" s="47"/>
      <c r="BF945" s="47"/>
      <c r="BG945" s="47"/>
      <c r="BH945" s="47"/>
      <c r="BI945" s="47"/>
      <c r="BJ945" s="47"/>
      <c r="BR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  <c r="AH946" s="47"/>
      <c r="AI946" s="47"/>
      <c r="AJ946" s="47"/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58"/>
      <c r="BD946" s="47"/>
      <c r="BE946" s="47"/>
      <c r="BF946" s="47"/>
      <c r="BG946" s="47"/>
      <c r="BH946" s="47"/>
      <c r="BI946" s="47"/>
      <c r="BJ946" s="47"/>
      <c r="BR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  <c r="AH947" s="47"/>
      <c r="AI947" s="47"/>
      <c r="AJ947" s="47"/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58"/>
      <c r="BD947" s="47"/>
      <c r="BE947" s="47"/>
      <c r="BF947" s="47"/>
      <c r="BG947" s="47"/>
      <c r="BH947" s="47"/>
      <c r="BI947" s="47"/>
      <c r="BJ947" s="47"/>
      <c r="BR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  <c r="AH948" s="47"/>
      <c r="AI948" s="47"/>
      <c r="AJ948" s="47"/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58"/>
      <c r="BD948" s="47"/>
      <c r="BE948" s="47"/>
      <c r="BF948" s="47"/>
      <c r="BG948" s="47"/>
      <c r="BH948" s="47"/>
      <c r="BI948" s="47"/>
      <c r="BJ948" s="47"/>
      <c r="BR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  <c r="AH949" s="47"/>
      <c r="AI949" s="47"/>
      <c r="AJ949" s="47"/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58"/>
      <c r="BD949" s="47"/>
      <c r="BE949" s="47"/>
      <c r="BF949" s="47"/>
      <c r="BG949" s="47"/>
      <c r="BH949" s="47"/>
      <c r="BI949" s="47"/>
      <c r="BJ949" s="47"/>
      <c r="BR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  <c r="AH950" s="47"/>
      <c r="AI950" s="47"/>
      <c r="AJ950" s="47"/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58"/>
      <c r="BD950" s="47"/>
      <c r="BE950" s="47"/>
      <c r="BF950" s="47"/>
      <c r="BG950" s="47"/>
      <c r="BH950" s="47"/>
      <c r="BI950" s="47"/>
      <c r="BJ950" s="47"/>
      <c r="BR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  <c r="AH951" s="47"/>
      <c r="AI951" s="47"/>
      <c r="AJ951" s="47"/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58"/>
      <c r="BD951" s="47"/>
      <c r="BE951" s="47"/>
      <c r="BF951" s="47"/>
      <c r="BG951" s="47"/>
      <c r="BH951" s="47"/>
      <c r="BI951" s="47"/>
      <c r="BJ951" s="47"/>
      <c r="BR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  <c r="AH952" s="47"/>
      <c r="AI952" s="47"/>
      <c r="AJ952" s="47"/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58"/>
      <c r="BD952" s="47"/>
      <c r="BE952" s="47"/>
      <c r="BF952" s="47"/>
      <c r="BG952" s="47"/>
      <c r="BH952" s="47"/>
      <c r="BI952" s="47"/>
      <c r="BJ952" s="47"/>
      <c r="BR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  <c r="AH953" s="47"/>
      <c r="AI953" s="47"/>
      <c r="AJ953" s="47"/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58"/>
      <c r="BD953" s="47"/>
      <c r="BE953" s="47"/>
      <c r="BF953" s="47"/>
      <c r="BG953" s="47"/>
      <c r="BH953" s="47"/>
      <c r="BI953" s="47"/>
      <c r="BJ953" s="47"/>
      <c r="BR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  <c r="AH954" s="47"/>
      <c r="AI954" s="47"/>
      <c r="AJ954" s="47"/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58"/>
      <c r="BD954" s="47"/>
      <c r="BE954" s="47"/>
      <c r="BF954" s="47"/>
      <c r="BG954" s="47"/>
      <c r="BH954" s="47"/>
      <c r="BI954" s="47"/>
      <c r="BJ954" s="47"/>
      <c r="BR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  <c r="AH955" s="47"/>
      <c r="AI955" s="47"/>
      <c r="AJ955" s="47"/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58"/>
      <c r="BD955" s="47"/>
      <c r="BE955" s="47"/>
      <c r="BF955" s="47"/>
      <c r="BG955" s="47"/>
      <c r="BH955" s="47"/>
      <c r="BI955" s="47"/>
      <c r="BJ955" s="47"/>
      <c r="BR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  <c r="AH956" s="47"/>
      <c r="AI956" s="47"/>
      <c r="AJ956" s="47"/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58"/>
      <c r="BD956" s="47"/>
      <c r="BE956" s="47"/>
      <c r="BF956" s="47"/>
      <c r="BG956" s="47"/>
      <c r="BH956" s="47"/>
      <c r="BI956" s="47"/>
      <c r="BJ956" s="47"/>
      <c r="BR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  <c r="AH957" s="47"/>
      <c r="AI957" s="47"/>
      <c r="AJ957" s="47"/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58"/>
      <c r="BD957" s="47"/>
      <c r="BE957" s="47"/>
      <c r="BF957" s="47"/>
      <c r="BG957" s="47"/>
      <c r="BH957" s="47"/>
      <c r="BI957" s="47"/>
      <c r="BJ957" s="47"/>
      <c r="BR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  <c r="AH958" s="47"/>
      <c r="AI958" s="47"/>
      <c r="AJ958" s="47"/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58"/>
      <c r="BD958" s="47"/>
      <c r="BE958" s="47"/>
      <c r="BF958" s="47"/>
      <c r="BG958" s="47"/>
      <c r="BH958" s="47"/>
      <c r="BI958" s="47"/>
      <c r="BJ958" s="47"/>
      <c r="BR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  <c r="AH959" s="47"/>
      <c r="AI959" s="47"/>
      <c r="AJ959" s="47"/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58"/>
      <c r="BD959" s="47"/>
      <c r="BE959" s="47"/>
      <c r="BF959" s="47"/>
      <c r="BG959" s="47"/>
      <c r="BH959" s="47"/>
      <c r="BI959" s="47"/>
      <c r="BJ959" s="47"/>
      <c r="BR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  <c r="AH960" s="47"/>
      <c r="AI960" s="47"/>
      <c r="AJ960" s="47"/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58"/>
      <c r="BD960" s="47"/>
      <c r="BE960" s="47"/>
      <c r="BF960" s="47"/>
      <c r="BG960" s="47"/>
      <c r="BH960" s="47"/>
      <c r="BI960" s="47"/>
      <c r="BJ960" s="47"/>
      <c r="BR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  <c r="AH961" s="47"/>
      <c r="AI961" s="47"/>
      <c r="AJ961" s="47"/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  <c r="BB961" s="58"/>
      <c r="BD961" s="47"/>
      <c r="BE961" s="47"/>
      <c r="BF961" s="47"/>
      <c r="BG961" s="47"/>
      <c r="BH961" s="47"/>
      <c r="BI961" s="47"/>
      <c r="BJ961" s="47"/>
      <c r="BR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  <c r="AH962" s="47"/>
      <c r="AI962" s="47"/>
      <c r="AJ962" s="47"/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58"/>
      <c r="BD962" s="47"/>
      <c r="BE962" s="47"/>
      <c r="BF962" s="47"/>
      <c r="BG962" s="47"/>
      <c r="BH962" s="47"/>
      <c r="BI962" s="47"/>
      <c r="BJ962" s="47"/>
      <c r="BR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  <c r="AH963" s="47"/>
      <c r="AI963" s="47"/>
      <c r="AJ963" s="47"/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58"/>
      <c r="BD963" s="47"/>
      <c r="BE963" s="47"/>
      <c r="BF963" s="47"/>
      <c r="BG963" s="47"/>
      <c r="BH963" s="47"/>
      <c r="BI963" s="47"/>
      <c r="BJ963" s="47"/>
      <c r="BR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  <c r="AH964" s="47"/>
      <c r="AI964" s="47"/>
      <c r="AJ964" s="47"/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58"/>
      <c r="BD964" s="47"/>
      <c r="BE964" s="47"/>
      <c r="BF964" s="47"/>
      <c r="BG964" s="47"/>
      <c r="BH964" s="47"/>
      <c r="BI964" s="47"/>
      <c r="BJ964" s="47"/>
      <c r="BR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  <c r="AH965" s="47"/>
      <c r="AI965" s="47"/>
      <c r="AJ965" s="47"/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58"/>
      <c r="BD965" s="47"/>
      <c r="BE965" s="47"/>
      <c r="BF965" s="47"/>
      <c r="BG965" s="47"/>
      <c r="BH965" s="47"/>
      <c r="BI965" s="47"/>
      <c r="BJ965" s="47"/>
      <c r="BR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  <c r="AH966" s="47"/>
      <c r="AI966" s="47"/>
      <c r="AJ966" s="47"/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58"/>
      <c r="BD966" s="47"/>
      <c r="BE966" s="47"/>
      <c r="BF966" s="47"/>
      <c r="BG966" s="47"/>
      <c r="BH966" s="47"/>
      <c r="BI966" s="47"/>
      <c r="BJ966" s="47"/>
      <c r="BR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  <c r="AH967" s="47"/>
      <c r="AI967" s="47"/>
      <c r="AJ967" s="47"/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58"/>
      <c r="BD967" s="47"/>
      <c r="BE967" s="47"/>
      <c r="BF967" s="47"/>
      <c r="BG967" s="47"/>
      <c r="BH967" s="47"/>
      <c r="BI967" s="47"/>
      <c r="BJ967" s="47"/>
      <c r="BR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  <c r="AH968" s="47"/>
      <c r="AI968" s="47"/>
      <c r="AJ968" s="47"/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58"/>
      <c r="BD968" s="47"/>
      <c r="BE968" s="47"/>
      <c r="BF968" s="47"/>
      <c r="BG968" s="47"/>
      <c r="BH968" s="47"/>
      <c r="BI968" s="47"/>
      <c r="BJ968" s="47"/>
      <c r="BR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  <c r="AH969" s="47"/>
      <c r="AI969" s="47"/>
      <c r="AJ969" s="47"/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58"/>
      <c r="BD969" s="47"/>
      <c r="BE969" s="47"/>
      <c r="BF969" s="47"/>
      <c r="BG969" s="47"/>
      <c r="BH969" s="47"/>
      <c r="BI969" s="47"/>
      <c r="BJ969" s="47"/>
      <c r="BR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  <c r="AH970" s="47"/>
      <c r="AI970" s="47"/>
      <c r="AJ970" s="47"/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58"/>
      <c r="BD970" s="47"/>
      <c r="BE970" s="47"/>
      <c r="BF970" s="47"/>
      <c r="BG970" s="47"/>
      <c r="BH970" s="47"/>
      <c r="BI970" s="47"/>
      <c r="BJ970" s="47"/>
      <c r="BR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  <c r="AH971" s="47"/>
      <c r="AI971" s="47"/>
      <c r="AJ971" s="47"/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58"/>
      <c r="BD971" s="47"/>
      <c r="BE971" s="47"/>
      <c r="BF971" s="47"/>
      <c r="BG971" s="47"/>
      <c r="BH971" s="47"/>
      <c r="BI971" s="47"/>
      <c r="BJ971" s="47"/>
      <c r="BR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  <c r="AH972" s="47"/>
      <c r="AI972" s="47"/>
      <c r="AJ972" s="47"/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58"/>
      <c r="BD972" s="47"/>
      <c r="BE972" s="47"/>
      <c r="BF972" s="47"/>
      <c r="BG972" s="47"/>
      <c r="BH972" s="47"/>
      <c r="BI972" s="47"/>
      <c r="BJ972" s="47"/>
      <c r="BR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  <c r="AH973" s="47"/>
      <c r="AI973" s="47"/>
      <c r="AJ973" s="47"/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58"/>
      <c r="BD973" s="47"/>
      <c r="BE973" s="47"/>
      <c r="BF973" s="47"/>
      <c r="BG973" s="47"/>
      <c r="BH973" s="47"/>
      <c r="BI973" s="47"/>
      <c r="BJ973" s="47"/>
      <c r="BR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58"/>
      <c r="BD974" s="47"/>
      <c r="BE974" s="47"/>
      <c r="BF974" s="47"/>
      <c r="BG974" s="47"/>
      <c r="BH974" s="47"/>
      <c r="BI974" s="47"/>
      <c r="BJ974" s="47"/>
      <c r="BR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  <c r="AH975" s="47"/>
      <c r="AI975" s="47"/>
      <c r="AJ975" s="47"/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58"/>
      <c r="BD975" s="47"/>
      <c r="BE975" s="47"/>
      <c r="BF975" s="47"/>
      <c r="BG975" s="47"/>
      <c r="BH975" s="47"/>
      <c r="BI975" s="47"/>
      <c r="BJ975" s="47"/>
      <c r="BR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  <c r="AH976" s="47"/>
      <c r="AI976" s="47"/>
      <c r="AJ976" s="47"/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58"/>
      <c r="BD976" s="47"/>
      <c r="BE976" s="47"/>
      <c r="BF976" s="47"/>
      <c r="BG976" s="47"/>
      <c r="BH976" s="47"/>
      <c r="BI976" s="47"/>
      <c r="BJ976" s="47"/>
      <c r="BR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  <c r="AH977" s="47"/>
      <c r="AI977" s="47"/>
      <c r="AJ977" s="47"/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58"/>
      <c r="BD977" s="47"/>
      <c r="BE977" s="47"/>
      <c r="BF977" s="47"/>
      <c r="BG977" s="47"/>
      <c r="BH977" s="47"/>
      <c r="BI977" s="47"/>
      <c r="BJ977" s="47"/>
      <c r="BR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  <c r="AH978" s="47"/>
      <c r="AI978" s="47"/>
      <c r="AJ978" s="47"/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58"/>
      <c r="BD978" s="47"/>
      <c r="BE978" s="47"/>
      <c r="BF978" s="47"/>
      <c r="BG978" s="47"/>
      <c r="BH978" s="47"/>
      <c r="BI978" s="47"/>
      <c r="BJ978" s="47"/>
      <c r="BR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  <c r="AH979" s="47"/>
      <c r="AI979" s="47"/>
      <c r="AJ979" s="47"/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58"/>
      <c r="BD979" s="47"/>
      <c r="BE979" s="47"/>
      <c r="BF979" s="47"/>
      <c r="BG979" s="47"/>
      <c r="BH979" s="47"/>
      <c r="BI979" s="47"/>
      <c r="BJ979" s="47"/>
      <c r="BR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  <c r="AH980" s="47"/>
      <c r="AI980" s="47"/>
      <c r="AJ980" s="47"/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58"/>
      <c r="BD980" s="47"/>
      <c r="BE980" s="47"/>
      <c r="BF980" s="47"/>
      <c r="BG980" s="47"/>
      <c r="BH980" s="47"/>
      <c r="BI980" s="47"/>
      <c r="BJ980" s="47"/>
      <c r="BR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  <c r="AH981" s="47"/>
      <c r="AI981" s="47"/>
      <c r="AJ981" s="47"/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58"/>
      <c r="BD981" s="47"/>
      <c r="BE981" s="47"/>
      <c r="BF981" s="47"/>
      <c r="BG981" s="47"/>
      <c r="BH981" s="47"/>
      <c r="BI981" s="47"/>
      <c r="BJ981" s="47"/>
      <c r="BR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  <c r="AH982" s="47"/>
      <c r="AI982" s="47"/>
      <c r="AJ982" s="47"/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58"/>
      <c r="BD982" s="47"/>
      <c r="BE982" s="47"/>
      <c r="BF982" s="47"/>
      <c r="BG982" s="47"/>
      <c r="BH982" s="47"/>
      <c r="BI982" s="47"/>
      <c r="BJ982" s="47"/>
      <c r="BR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  <c r="AH983" s="47"/>
      <c r="AI983" s="47"/>
      <c r="AJ983" s="47"/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58"/>
      <c r="BD983" s="47"/>
      <c r="BE983" s="47"/>
      <c r="BF983" s="47"/>
      <c r="BG983" s="47"/>
      <c r="BH983" s="47"/>
      <c r="BI983" s="47"/>
      <c r="BJ983" s="47"/>
      <c r="BR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  <c r="AH984" s="47"/>
      <c r="AI984" s="47"/>
      <c r="AJ984" s="47"/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58"/>
      <c r="BD984" s="47"/>
      <c r="BE984" s="47"/>
      <c r="BF984" s="47"/>
      <c r="BG984" s="47"/>
      <c r="BH984" s="47"/>
      <c r="BI984" s="47"/>
      <c r="BJ984" s="47"/>
      <c r="BR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  <c r="AH985" s="47"/>
      <c r="AI985" s="47"/>
      <c r="AJ985" s="47"/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58"/>
      <c r="BD985" s="47"/>
      <c r="BE985" s="47"/>
      <c r="BF985" s="47"/>
      <c r="BG985" s="47"/>
      <c r="BH985" s="47"/>
      <c r="BI985" s="47"/>
      <c r="BJ985" s="47"/>
      <c r="BR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  <c r="AH986" s="47"/>
      <c r="AI986" s="47"/>
      <c r="AJ986" s="47"/>
      <c r="AK986" s="47"/>
      <c r="AL986" s="47"/>
      <c r="AM986" s="47"/>
      <c r="AN986" s="47"/>
      <c r="AO986" s="47"/>
      <c r="AP986" s="47"/>
      <c r="AQ986" s="47"/>
      <c r="AR986" s="47"/>
      <c r="AS986" s="47"/>
      <c r="AT986" s="47"/>
      <c r="AU986" s="47"/>
      <c r="AV986" s="47"/>
      <c r="AW986" s="47"/>
      <c r="AX986" s="47"/>
      <c r="AY986" s="47"/>
      <c r="AZ986" s="47"/>
      <c r="BA986" s="47"/>
      <c r="BB986" s="58"/>
      <c r="BD986" s="47"/>
      <c r="BE986" s="47"/>
      <c r="BF986" s="47"/>
      <c r="BG986" s="47"/>
      <c r="BH986" s="47"/>
      <c r="BI986" s="47"/>
      <c r="BJ986" s="47"/>
      <c r="BR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  <c r="AH987" s="47"/>
      <c r="AI987" s="47"/>
      <c r="AJ987" s="47"/>
      <c r="AK987" s="47"/>
      <c r="AL987" s="47"/>
      <c r="AM987" s="47"/>
      <c r="AN987" s="47"/>
      <c r="AO987" s="47"/>
      <c r="AP987" s="47"/>
      <c r="AQ987" s="47"/>
      <c r="AR987" s="47"/>
      <c r="AS987" s="47"/>
      <c r="AT987" s="47"/>
      <c r="AU987" s="47"/>
      <c r="AV987" s="47"/>
      <c r="AW987" s="47"/>
      <c r="AX987" s="47"/>
      <c r="AY987" s="47"/>
      <c r="AZ987" s="47"/>
      <c r="BA987" s="47"/>
      <c r="BB987" s="58"/>
      <c r="BD987" s="47"/>
      <c r="BE987" s="47"/>
      <c r="BF987" s="47"/>
      <c r="BG987" s="47"/>
      <c r="BH987" s="47"/>
      <c r="BI987" s="47"/>
      <c r="BJ987" s="47"/>
      <c r="BR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  <c r="AH988" s="47"/>
      <c r="AI988" s="47"/>
      <c r="AJ988" s="47"/>
      <c r="AK988" s="47"/>
      <c r="AL988" s="47"/>
      <c r="AM988" s="47"/>
      <c r="AN988" s="47"/>
      <c r="AO988" s="47"/>
      <c r="AP988" s="47"/>
      <c r="AQ988" s="47"/>
      <c r="AR988" s="47"/>
      <c r="AS988" s="47"/>
      <c r="AT988" s="47"/>
      <c r="AU988" s="47"/>
      <c r="AV988" s="47"/>
      <c r="AW988" s="47"/>
      <c r="AX988" s="47"/>
      <c r="AY988" s="47"/>
      <c r="AZ988" s="47"/>
      <c r="BA988" s="47"/>
      <c r="BB988" s="58"/>
      <c r="BD988" s="47"/>
      <c r="BE988" s="47"/>
      <c r="BF988" s="47"/>
      <c r="BG988" s="47"/>
      <c r="BH988" s="47"/>
      <c r="BI988" s="47"/>
      <c r="BJ988" s="47"/>
      <c r="BR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  <c r="AH989" s="47"/>
      <c r="AI989" s="47"/>
      <c r="AJ989" s="47"/>
      <c r="AK989" s="47"/>
      <c r="AL989" s="47"/>
      <c r="AM989" s="47"/>
      <c r="AN989" s="47"/>
      <c r="AO989" s="47"/>
      <c r="AP989" s="47"/>
      <c r="AQ989" s="47"/>
      <c r="AR989" s="47"/>
      <c r="AS989" s="47"/>
      <c r="AT989" s="47"/>
      <c r="AU989" s="47"/>
      <c r="AV989" s="47"/>
      <c r="AW989" s="47"/>
      <c r="AX989" s="47"/>
      <c r="AY989" s="47"/>
      <c r="AZ989" s="47"/>
      <c r="BA989" s="47"/>
      <c r="BB989" s="58"/>
      <c r="BD989" s="47"/>
      <c r="BE989" s="47"/>
      <c r="BF989" s="47"/>
      <c r="BG989" s="47"/>
      <c r="BH989" s="47"/>
      <c r="BI989" s="47"/>
      <c r="BJ989" s="47"/>
      <c r="BR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  <c r="AH990" s="47"/>
      <c r="AI990" s="47"/>
      <c r="AJ990" s="47"/>
      <c r="AK990" s="47"/>
      <c r="AL990" s="47"/>
      <c r="AM990" s="47"/>
      <c r="AN990" s="47"/>
      <c r="AO990" s="47"/>
      <c r="AP990" s="47"/>
      <c r="AQ990" s="47"/>
      <c r="AR990" s="47"/>
      <c r="AS990" s="47"/>
      <c r="AT990" s="47"/>
      <c r="AU990" s="47"/>
      <c r="AV990" s="47"/>
      <c r="AW990" s="47"/>
      <c r="AX990" s="47"/>
      <c r="AY990" s="47"/>
      <c r="AZ990" s="47"/>
      <c r="BA990" s="47"/>
      <c r="BB990" s="58"/>
      <c r="BD990" s="47"/>
      <c r="BE990" s="47"/>
      <c r="BF990" s="47"/>
      <c r="BG990" s="47"/>
      <c r="BH990" s="47"/>
      <c r="BI990" s="47"/>
      <c r="BJ990" s="47"/>
      <c r="BR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  <c r="AH991" s="47"/>
      <c r="AI991" s="47"/>
      <c r="AJ991" s="47"/>
      <c r="AK991" s="47"/>
      <c r="AL991" s="47"/>
      <c r="AM991" s="47"/>
      <c r="AN991" s="47"/>
      <c r="AO991" s="47"/>
      <c r="AP991" s="47"/>
      <c r="AQ991" s="47"/>
      <c r="AR991" s="47"/>
      <c r="AS991" s="47"/>
      <c r="AT991" s="47"/>
      <c r="AU991" s="47"/>
      <c r="AV991" s="47"/>
      <c r="AW991" s="47"/>
      <c r="AX991" s="47"/>
      <c r="AY991" s="47"/>
      <c r="AZ991" s="47"/>
      <c r="BA991" s="47"/>
      <c r="BB991" s="58"/>
      <c r="BD991" s="47"/>
      <c r="BE991" s="47"/>
      <c r="BF991" s="47"/>
      <c r="BG991" s="47"/>
      <c r="BH991" s="47"/>
      <c r="BI991" s="47"/>
      <c r="BJ991" s="47"/>
      <c r="BR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  <c r="AH992" s="47"/>
      <c r="AI992" s="47"/>
      <c r="AJ992" s="47"/>
      <c r="AK992" s="47"/>
      <c r="AL992" s="47"/>
      <c r="AM992" s="47"/>
      <c r="AN992" s="47"/>
      <c r="AO992" s="47"/>
      <c r="AP992" s="47"/>
      <c r="AQ992" s="47"/>
      <c r="AR992" s="47"/>
      <c r="AS992" s="47"/>
      <c r="AT992" s="47"/>
      <c r="AU992" s="47"/>
      <c r="AV992" s="47"/>
      <c r="AW992" s="47"/>
      <c r="AX992" s="47"/>
      <c r="AY992" s="47"/>
      <c r="AZ992" s="47"/>
      <c r="BA992" s="47"/>
      <c r="BB992" s="58"/>
      <c r="BD992" s="47"/>
      <c r="BE992" s="47"/>
      <c r="BF992" s="47"/>
      <c r="BG992" s="47"/>
      <c r="BH992" s="47"/>
      <c r="BI992" s="47"/>
      <c r="BJ992" s="47"/>
      <c r="BR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  <c r="AH993" s="47"/>
      <c r="AI993" s="47"/>
      <c r="AJ993" s="47"/>
      <c r="AK993" s="47"/>
      <c r="AL993" s="47"/>
      <c r="AM993" s="47"/>
      <c r="AN993" s="47"/>
      <c r="AO993" s="47"/>
      <c r="AP993" s="47"/>
      <c r="AQ993" s="47"/>
      <c r="AR993" s="47"/>
      <c r="AS993" s="47"/>
      <c r="AT993" s="47"/>
      <c r="AU993" s="47"/>
      <c r="AV993" s="47"/>
      <c r="AW993" s="47"/>
      <c r="AX993" s="47"/>
      <c r="AY993" s="47"/>
      <c r="AZ993" s="47"/>
      <c r="BA993" s="47"/>
      <c r="BB993" s="58"/>
      <c r="BD993" s="47"/>
      <c r="BE993" s="47"/>
      <c r="BF993" s="47"/>
      <c r="BG993" s="47"/>
      <c r="BH993" s="47"/>
      <c r="BI993" s="47"/>
      <c r="BJ993" s="47"/>
      <c r="BR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  <c r="AH994" s="47"/>
      <c r="AI994" s="47"/>
      <c r="AJ994" s="47"/>
      <c r="AK994" s="47"/>
      <c r="AL994" s="47"/>
      <c r="AM994" s="47"/>
      <c r="AN994" s="47"/>
      <c r="AO994" s="47"/>
      <c r="AP994" s="47"/>
      <c r="AQ994" s="47"/>
      <c r="AR994" s="47"/>
      <c r="AS994" s="47"/>
      <c r="AT994" s="47"/>
      <c r="AU994" s="47"/>
      <c r="AV994" s="47"/>
      <c r="AW994" s="47"/>
      <c r="AX994" s="47"/>
      <c r="AY994" s="47"/>
      <c r="AZ994" s="47"/>
      <c r="BA994" s="47"/>
      <c r="BB994" s="58"/>
      <c r="BD994" s="47"/>
      <c r="BE994" s="47"/>
      <c r="BF994" s="47"/>
      <c r="BG994" s="47"/>
      <c r="BH994" s="47"/>
      <c r="BI994" s="47"/>
      <c r="BJ994" s="47"/>
      <c r="BR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  <c r="AH995" s="47"/>
      <c r="AI995" s="47"/>
      <c r="AJ995" s="47"/>
      <c r="AK995" s="47"/>
      <c r="AL995" s="47"/>
      <c r="AM995" s="47"/>
      <c r="AN995" s="47"/>
      <c r="AO995" s="47"/>
      <c r="AP995" s="47"/>
      <c r="AQ995" s="47"/>
      <c r="AR995" s="47"/>
      <c r="AS995" s="47"/>
      <c r="AT995" s="47"/>
      <c r="AU995" s="47"/>
      <c r="AV995" s="47"/>
      <c r="AW995" s="47"/>
      <c r="AX995" s="47"/>
      <c r="AY995" s="47"/>
      <c r="AZ995" s="47"/>
      <c r="BA995" s="47"/>
      <c r="BB995" s="58"/>
      <c r="BD995" s="47"/>
      <c r="BE995" s="47"/>
      <c r="BF995" s="47"/>
      <c r="BG995" s="47"/>
      <c r="BH995" s="47"/>
      <c r="BI995" s="47"/>
      <c r="BJ995" s="47"/>
      <c r="BR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  <c r="AH996" s="47"/>
      <c r="AI996" s="47"/>
      <c r="AJ996" s="47"/>
      <c r="AK996" s="47"/>
      <c r="AL996" s="47"/>
      <c r="AM996" s="47"/>
      <c r="AN996" s="47"/>
      <c r="AO996" s="47"/>
      <c r="AP996" s="47"/>
      <c r="AQ996" s="47"/>
      <c r="AR996" s="47"/>
      <c r="AS996" s="47"/>
      <c r="AT996" s="47"/>
      <c r="AU996" s="47"/>
      <c r="AV996" s="47"/>
      <c r="AW996" s="47"/>
      <c r="AX996" s="47"/>
      <c r="AY996" s="47"/>
      <c r="AZ996" s="47"/>
      <c r="BA996" s="47"/>
      <c r="BB996" s="58"/>
      <c r="BD996" s="47"/>
      <c r="BE996" s="47"/>
      <c r="BF996" s="47"/>
      <c r="BG996" s="47"/>
      <c r="BH996" s="47"/>
      <c r="BI996" s="47"/>
      <c r="BJ996" s="47"/>
      <c r="BR996" s="47"/>
    </row>
  </sheetData>
  <mergeCells count="4">
    <mergeCell ref="J2:P2"/>
    <mergeCell ref="Q2:W2"/>
    <mergeCell ref="X2:AD2"/>
    <mergeCell ref="AE2:AK2"/>
  </mergeCells>
  <conditionalFormatting sqref="F44:H44 P44:S44 T44:W46 F46:I46 O46:S46">
    <cfRule type="cellIs" dxfId="0" priority="1" operator="lessThan">
      <formula>0</formula>
    </cfRule>
  </conditionalFormatting>
  <conditionalFormatting sqref="F44:H44 P44:S44 T44:W46 F46:I46 O46:S46">
    <cfRule type="cellIs" dxfId="1" priority="2" operator="greaterThan">
      <formula>0</formula>
    </cfRule>
  </conditionalFormatting>
  <hyperlinks>
    <hyperlink r:id="rId2" ref="K32"/>
    <hyperlink r:id="rId3" ref="L32"/>
    <hyperlink r:id="rId4" ref="M32"/>
    <hyperlink r:id="rId5" ref="N32"/>
  </hyperlinks>
  <printOptions/>
  <pageMargins bottom="0.75" footer="0.0" header="0.0" left="0.7" right="0.7" top="0.75"/>
  <pageSetup orientation="landscape"/>
  <drawing r:id="rId6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2">
      <c r="G12" s="149" t="s">
        <v>355</v>
      </c>
      <c r="H12" s="150" t="s">
        <v>356</v>
      </c>
      <c r="I12" s="150"/>
    </row>
    <row r="13">
      <c r="G13" s="149" t="s">
        <v>357</v>
      </c>
      <c r="H13" s="150" t="s">
        <v>358</v>
      </c>
      <c r="I13" s="150"/>
    </row>
    <row r="14">
      <c r="G14" s="149" t="s">
        <v>359</v>
      </c>
      <c r="H14" s="150"/>
      <c r="I14" s="150"/>
    </row>
    <row r="15">
      <c r="G15" s="149" t="s">
        <v>360</v>
      </c>
      <c r="H15" s="150" t="s">
        <v>361</v>
      </c>
      <c r="I15" s="150" t="s">
        <v>362</v>
      </c>
    </row>
    <row r="16">
      <c r="G16" s="149" t="s">
        <v>363</v>
      </c>
      <c r="H16" s="150"/>
      <c r="I16" s="150"/>
    </row>
    <row r="17">
      <c r="G17" s="149" t="s">
        <v>224</v>
      </c>
      <c r="H17" s="150" t="s">
        <v>364</v>
      </c>
      <c r="I17" s="150"/>
    </row>
    <row r="18">
      <c r="G18" s="149" t="s">
        <v>365</v>
      </c>
      <c r="H18" s="150" t="s">
        <v>366</v>
      </c>
      <c r="I18" s="150"/>
    </row>
    <row r="19">
      <c r="G19" s="149" t="s">
        <v>367</v>
      </c>
      <c r="H19" s="150" t="s">
        <v>366</v>
      </c>
      <c r="I19" s="150"/>
    </row>
    <row r="20">
      <c r="G20" s="149" t="s">
        <v>368</v>
      </c>
      <c r="H20" s="150"/>
      <c r="I20" s="150"/>
    </row>
    <row r="21">
      <c r="G21" s="149" t="s">
        <v>369</v>
      </c>
      <c r="H21" s="150"/>
      <c r="I21" s="150"/>
    </row>
    <row r="22">
      <c r="G22" s="150"/>
      <c r="H22" s="150"/>
      <c r="I22" s="150"/>
    </row>
    <row r="23">
      <c r="G23" s="150"/>
      <c r="H23" s="150"/>
      <c r="I23" s="150"/>
    </row>
    <row r="24">
      <c r="G24" s="150" t="s">
        <v>370</v>
      </c>
      <c r="H24" s="150"/>
      <c r="I24" s="150"/>
    </row>
    <row r="25">
      <c r="G25" s="150" t="s">
        <v>371</v>
      </c>
      <c r="H25" s="151">
        <v>5.19</v>
      </c>
      <c r="I25" s="151">
        <v>890.0</v>
      </c>
    </row>
    <row r="26">
      <c r="G26" s="150"/>
      <c r="H26" s="152">
        <v>46240.0</v>
      </c>
      <c r="I26" s="150"/>
    </row>
    <row r="27">
      <c r="G27" s="150"/>
      <c r="H27" s="150" t="s">
        <v>372</v>
      </c>
      <c r="I27" s="150"/>
    </row>
    <row r="28">
      <c r="G28" s="150"/>
      <c r="H28" s="150"/>
      <c r="I28" s="15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1.22" defaultRowHeight="15.0"/>
  <cols>
    <col customWidth="1" min="1" max="1" width="21.89"/>
    <col customWidth="1" min="2" max="5" width="8.33"/>
    <col customWidth="1" min="6" max="8" width="9.11"/>
    <col customWidth="1" min="9" max="9" width="8.33"/>
    <col customWidth="1" min="10" max="10" width="9.11"/>
    <col customWidth="1" min="11" max="12" width="8.33"/>
    <col customWidth="1" min="13" max="13" width="9.0"/>
    <col customWidth="1" min="14" max="14" width="9.11"/>
    <col customWidth="1" min="15" max="15" width="17.11"/>
    <col customWidth="1" min="16" max="26" width="8.33"/>
  </cols>
  <sheetData>
    <row r="1" ht="15.75" customHeight="1">
      <c r="A1" s="47"/>
      <c r="B1" s="42" t="s">
        <v>67</v>
      </c>
      <c r="E1" s="43" t="s">
        <v>68</v>
      </c>
      <c r="F1" s="43"/>
      <c r="G1" s="43"/>
      <c r="H1" s="44" t="s">
        <v>69</v>
      </c>
      <c r="I1" s="44"/>
      <c r="J1" s="44"/>
      <c r="K1" s="45" t="s">
        <v>70</v>
      </c>
      <c r="N1" s="46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5.75" customHeight="1">
      <c r="A2" s="47"/>
      <c r="B2" s="48">
        <v>2026.0</v>
      </c>
      <c r="C2" s="48">
        <v>2026.0</v>
      </c>
      <c r="D2" s="48">
        <v>2026.0</v>
      </c>
      <c r="E2" s="49">
        <v>2026.0</v>
      </c>
      <c r="F2" s="49">
        <v>2026.0</v>
      </c>
      <c r="G2" s="49">
        <v>2026.0</v>
      </c>
      <c r="H2" s="50">
        <v>2026.0</v>
      </c>
      <c r="I2" s="50">
        <v>2026.0</v>
      </c>
      <c r="J2" s="50">
        <v>2026.0</v>
      </c>
      <c r="K2" s="51">
        <v>2026.0</v>
      </c>
      <c r="L2" s="51">
        <v>2026.0</v>
      </c>
      <c r="M2" s="51">
        <v>2026.0</v>
      </c>
      <c r="N2" s="52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5.75" customHeight="1">
      <c r="A3" s="47"/>
      <c r="B3" s="48" t="s">
        <v>180</v>
      </c>
      <c r="C3" s="48" t="s">
        <v>181</v>
      </c>
      <c r="D3" s="48" t="s">
        <v>182</v>
      </c>
      <c r="E3" s="49" t="s">
        <v>183</v>
      </c>
      <c r="F3" s="49" t="s">
        <v>184</v>
      </c>
      <c r="G3" s="49" t="s">
        <v>185</v>
      </c>
      <c r="H3" s="50" t="s">
        <v>186</v>
      </c>
      <c r="I3" s="50" t="s">
        <v>187</v>
      </c>
      <c r="J3" s="50" t="s">
        <v>188</v>
      </c>
      <c r="K3" s="51" t="s">
        <v>189</v>
      </c>
      <c r="L3" s="51" t="s">
        <v>190</v>
      </c>
      <c r="M3" s="51" t="s">
        <v>191</v>
      </c>
      <c r="N3" s="52"/>
      <c r="O3" s="53" t="s">
        <v>192</v>
      </c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5.75" customHeight="1">
      <c r="A4" s="47" t="s">
        <v>243</v>
      </c>
      <c r="B4" s="53"/>
      <c r="C4" s="53"/>
      <c r="D4" s="53"/>
      <c r="E4" s="53"/>
      <c r="F4" s="53"/>
      <c r="G4" s="53">
        <f t="shared" ref="G4:M4" si="1">G24</f>
        <v>5000</v>
      </c>
      <c r="H4" s="53">
        <f t="shared" si="1"/>
        <v>10000</v>
      </c>
      <c r="I4" s="53">
        <f t="shared" si="1"/>
        <v>10000</v>
      </c>
      <c r="J4" s="53">
        <f t="shared" si="1"/>
        <v>10000</v>
      </c>
      <c r="K4" s="53">
        <f t="shared" si="1"/>
        <v>15000</v>
      </c>
      <c r="L4" s="53">
        <f t="shared" si="1"/>
        <v>15000</v>
      </c>
      <c r="M4" s="53">
        <f t="shared" si="1"/>
        <v>15000</v>
      </c>
      <c r="N4" s="53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5.75" customHeight="1">
      <c r="A5" s="66" t="s">
        <v>373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5.75" customHeight="1">
      <c r="A6" s="47" t="s">
        <v>150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5.75" customHeight="1">
      <c r="A7" s="47" t="s">
        <v>84</v>
      </c>
      <c r="B7" s="53"/>
      <c r="C7" s="57"/>
      <c r="D7" s="58"/>
      <c r="E7" s="58"/>
      <c r="F7" s="58"/>
      <c r="G7" s="58"/>
      <c r="H7" s="58"/>
      <c r="I7" s="58"/>
      <c r="J7" s="58"/>
      <c r="K7" s="58"/>
      <c r="L7" s="58"/>
      <c r="M7" s="58"/>
      <c r="N7" s="5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5.75" customHeight="1">
      <c r="A8" s="47" t="s">
        <v>199</v>
      </c>
      <c r="B8" s="47"/>
      <c r="C8" s="47"/>
      <c r="D8" s="47"/>
      <c r="E8" s="60"/>
      <c r="F8" s="60"/>
      <c r="G8" s="60">
        <v>20000.0</v>
      </c>
      <c r="H8" s="60">
        <v>40000.0</v>
      </c>
      <c r="I8" s="60">
        <v>60000.0</v>
      </c>
      <c r="J8" s="60">
        <v>60000.0</v>
      </c>
      <c r="K8" s="60">
        <v>90000.0</v>
      </c>
      <c r="L8" s="60">
        <v>90000.0</v>
      </c>
      <c r="M8" s="60">
        <v>90000.0</v>
      </c>
      <c r="N8" s="53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5.75" customHeight="1">
      <c r="A9" s="47" t="s">
        <v>86</v>
      </c>
      <c r="B9" s="53"/>
      <c r="C9" s="6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5.75" customHeight="1">
      <c r="A10" s="47" t="s">
        <v>81</v>
      </c>
      <c r="B10" s="53"/>
      <c r="C10" s="62"/>
      <c r="D10" s="57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5.75" customHeight="1">
      <c r="A11" s="47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5.75" customHeight="1">
      <c r="A12" s="47" t="s">
        <v>374</v>
      </c>
      <c r="B12" s="53"/>
      <c r="C12" s="58"/>
      <c r="D12" s="58"/>
      <c r="E12" s="58"/>
      <c r="F12" s="58">
        <v>0.02</v>
      </c>
      <c r="G12" s="58">
        <v>0.02</v>
      </c>
      <c r="H12" s="58">
        <v>0.02</v>
      </c>
      <c r="I12" s="58">
        <v>0.02</v>
      </c>
      <c r="J12" s="58">
        <v>0.02</v>
      </c>
      <c r="K12" s="58">
        <v>0.02</v>
      </c>
      <c r="L12" s="58">
        <v>0.02</v>
      </c>
      <c r="M12" s="58">
        <v>0.02</v>
      </c>
      <c r="N12" s="58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5.75" customHeight="1">
      <c r="A13" s="47" t="s">
        <v>375</v>
      </c>
      <c r="B13" s="53"/>
      <c r="C13" s="53"/>
      <c r="D13" s="53"/>
      <c r="E13" s="53"/>
      <c r="F13" s="53">
        <f t="shared" ref="F13:M13" si="2">F8*F12</f>
        <v>0</v>
      </c>
      <c r="G13" s="53">
        <f t="shared" si="2"/>
        <v>400</v>
      </c>
      <c r="H13" s="53">
        <f t="shared" si="2"/>
        <v>800</v>
      </c>
      <c r="I13" s="53">
        <f t="shared" si="2"/>
        <v>1200</v>
      </c>
      <c r="J13" s="53">
        <f t="shared" si="2"/>
        <v>1200</v>
      </c>
      <c r="K13" s="53">
        <f t="shared" si="2"/>
        <v>1800</v>
      </c>
      <c r="L13" s="53">
        <f t="shared" si="2"/>
        <v>1800</v>
      </c>
      <c r="M13" s="53">
        <f t="shared" si="2"/>
        <v>1800</v>
      </c>
      <c r="N13" s="53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5.75" customHeight="1">
      <c r="A14" s="47" t="s">
        <v>206</v>
      </c>
      <c r="B14" s="53"/>
      <c r="C14" s="53"/>
      <c r="D14" s="53"/>
      <c r="E14" s="53"/>
      <c r="F14" s="53"/>
      <c r="G14" s="53">
        <f t="shared" ref="G14:M14" si="3">F13*G17</f>
        <v>0</v>
      </c>
      <c r="H14" s="53">
        <f t="shared" si="3"/>
        <v>20</v>
      </c>
      <c r="I14" s="53">
        <f t="shared" si="3"/>
        <v>40</v>
      </c>
      <c r="J14" s="53">
        <f t="shared" si="3"/>
        <v>120</v>
      </c>
      <c r="K14" s="53">
        <f t="shared" si="3"/>
        <v>120</v>
      </c>
      <c r="L14" s="53">
        <f t="shared" si="3"/>
        <v>180</v>
      </c>
      <c r="M14" s="53">
        <f t="shared" si="3"/>
        <v>180</v>
      </c>
      <c r="N14" s="53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5.75" customHeight="1">
      <c r="A15" s="47" t="s">
        <v>207</v>
      </c>
      <c r="B15" s="53"/>
      <c r="C15" s="53"/>
      <c r="D15" s="53"/>
      <c r="E15" s="53"/>
      <c r="F15" s="53">
        <f t="shared" ref="F15:M15" si="4">F13+F14</f>
        <v>0</v>
      </c>
      <c r="G15" s="53">
        <f t="shared" si="4"/>
        <v>400</v>
      </c>
      <c r="H15" s="53">
        <f t="shared" si="4"/>
        <v>820</v>
      </c>
      <c r="I15" s="53">
        <f t="shared" si="4"/>
        <v>1240</v>
      </c>
      <c r="J15" s="53">
        <f t="shared" si="4"/>
        <v>1320</v>
      </c>
      <c r="K15" s="53">
        <f t="shared" si="4"/>
        <v>1920</v>
      </c>
      <c r="L15" s="53">
        <f t="shared" si="4"/>
        <v>1980</v>
      </c>
      <c r="M15" s="53">
        <f t="shared" si="4"/>
        <v>1980</v>
      </c>
      <c r="N15" s="53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5.75" customHeight="1">
      <c r="A16" s="66" t="s">
        <v>165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5.75" customHeight="1">
      <c r="A17" s="47" t="s">
        <v>208</v>
      </c>
      <c r="B17" s="53"/>
      <c r="C17" s="62"/>
      <c r="D17" s="62"/>
      <c r="E17" s="62"/>
      <c r="F17" s="62"/>
      <c r="G17" s="62">
        <v>0.05</v>
      </c>
      <c r="H17" s="62">
        <v>0.05</v>
      </c>
      <c r="I17" s="62">
        <v>0.05</v>
      </c>
      <c r="J17" s="62">
        <v>0.1</v>
      </c>
      <c r="K17" s="62">
        <v>0.1</v>
      </c>
      <c r="L17" s="62">
        <v>0.1</v>
      </c>
      <c r="M17" s="62">
        <v>0.1</v>
      </c>
      <c r="N17" s="62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5.75" customHeight="1">
      <c r="A18" s="66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5.75" customHeight="1">
      <c r="A19" s="47" t="s">
        <v>209</v>
      </c>
      <c r="B19" s="53"/>
      <c r="C19" s="53"/>
      <c r="D19" s="53"/>
      <c r="E19" s="53"/>
      <c r="F19" s="53">
        <v>25.0</v>
      </c>
      <c r="G19" s="53">
        <v>25.0</v>
      </c>
      <c r="H19" s="53">
        <v>30.0</v>
      </c>
      <c r="I19" s="53">
        <v>30.0</v>
      </c>
      <c r="J19" s="53">
        <v>35.0</v>
      </c>
      <c r="K19" s="53">
        <v>35.0</v>
      </c>
      <c r="L19" s="53">
        <v>40.0</v>
      </c>
      <c r="M19" s="53">
        <v>40.0</v>
      </c>
      <c r="N19" s="6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5.75" customHeight="1">
      <c r="A20" s="47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66" t="s">
        <v>376</v>
      </c>
      <c r="B21" s="53"/>
      <c r="C21" s="53">
        <f t="shared" ref="C21:E21" si="5">C15*C19</f>
        <v>0</v>
      </c>
      <c r="D21" s="53">
        <f t="shared" si="5"/>
        <v>0</v>
      </c>
      <c r="E21" s="53">
        <f t="shared" si="5"/>
        <v>0</v>
      </c>
      <c r="F21" s="53">
        <f t="shared" ref="F21:M21" si="6">F19*F15</f>
        <v>0</v>
      </c>
      <c r="G21" s="53">
        <f t="shared" si="6"/>
        <v>10000</v>
      </c>
      <c r="H21" s="53">
        <f t="shared" si="6"/>
        <v>24600</v>
      </c>
      <c r="I21" s="53">
        <f t="shared" si="6"/>
        <v>37200</v>
      </c>
      <c r="J21" s="53">
        <f t="shared" si="6"/>
        <v>46200</v>
      </c>
      <c r="K21" s="53">
        <f t="shared" si="6"/>
        <v>67200</v>
      </c>
      <c r="L21" s="53">
        <f t="shared" si="6"/>
        <v>79200</v>
      </c>
      <c r="M21" s="53">
        <f t="shared" si="6"/>
        <v>79200</v>
      </c>
      <c r="N21" s="53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7" t="s">
        <v>129</v>
      </c>
      <c r="B22" s="62">
        <v>0.3</v>
      </c>
      <c r="C22" s="62">
        <v>0.3</v>
      </c>
      <c r="D22" s="62">
        <v>0.3</v>
      </c>
      <c r="E22" s="62">
        <v>0.3</v>
      </c>
      <c r="F22" s="62">
        <v>0.3</v>
      </c>
      <c r="G22" s="62">
        <v>0.3</v>
      </c>
      <c r="H22" s="62">
        <v>0.3</v>
      </c>
      <c r="I22" s="62">
        <v>0.3</v>
      </c>
      <c r="J22" s="62">
        <v>0.3</v>
      </c>
      <c r="K22" s="62">
        <v>0.3</v>
      </c>
      <c r="L22" s="62">
        <v>0.3</v>
      </c>
      <c r="M22" s="62">
        <v>0.3</v>
      </c>
      <c r="N22" s="53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7" t="s">
        <v>377</v>
      </c>
      <c r="B23" s="53">
        <f t="shared" ref="B23:M23" si="7">B21*B22</f>
        <v>0</v>
      </c>
      <c r="C23" s="53">
        <f t="shared" si="7"/>
        <v>0</v>
      </c>
      <c r="D23" s="53">
        <f t="shared" si="7"/>
        <v>0</v>
      </c>
      <c r="E23" s="53">
        <f t="shared" si="7"/>
        <v>0</v>
      </c>
      <c r="F23" s="53">
        <f t="shared" si="7"/>
        <v>0</v>
      </c>
      <c r="G23" s="53">
        <f t="shared" si="7"/>
        <v>3000</v>
      </c>
      <c r="H23" s="53">
        <f t="shared" si="7"/>
        <v>7380</v>
      </c>
      <c r="I23" s="53">
        <f t="shared" si="7"/>
        <v>11160</v>
      </c>
      <c r="J23" s="53">
        <f t="shared" si="7"/>
        <v>13860</v>
      </c>
      <c r="K23" s="53">
        <f t="shared" si="7"/>
        <v>20160</v>
      </c>
      <c r="L23" s="53">
        <f t="shared" si="7"/>
        <v>23760</v>
      </c>
      <c r="M23" s="53">
        <f t="shared" si="7"/>
        <v>23760</v>
      </c>
      <c r="N23" s="53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47" t="s">
        <v>378</v>
      </c>
      <c r="B24" s="53"/>
      <c r="C24" s="53"/>
      <c r="D24" s="53" t="str">
        <f>D4</f>
        <v/>
      </c>
      <c r="E24" s="53"/>
      <c r="F24" s="53">
        <v>5000.0</v>
      </c>
      <c r="G24" s="53">
        <v>5000.0</v>
      </c>
      <c r="H24" s="53">
        <v>10000.0</v>
      </c>
      <c r="I24" s="53">
        <v>10000.0</v>
      </c>
      <c r="J24" s="53">
        <v>10000.0</v>
      </c>
      <c r="K24" s="53">
        <v>15000.0</v>
      </c>
      <c r="L24" s="53">
        <v>15000.0</v>
      </c>
      <c r="M24" s="53">
        <v>15000.0</v>
      </c>
      <c r="N24" s="53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66" t="s">
        <v>172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47" t="s">
        <v>244</v>
      </c>
      <c r="B26" s="53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47" t="s">
        <v>245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 t="s">
        <v>174</v>
      </c>
      <c r="B28" s="53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 t="s">
        <v>216</v>
      </c>
      <c r="B29" s="53">
        <f>payroll!B23</f>
        <v>0</v>
      </c>
      <c r="C29" s="53">
        <f>payroll!C23</f>
        <v>0</v>
      </c>
      <c r="D29" s="53">
        <f>payroll!D23</f>
        <v>0</v>
      </c>
      <c r="E29" s="53">
        <f>payroll!E23</f>
        <v>3961.111111</v>
      </c>
      <c r="F29" s="53">
        <f>payroll!F23</f>
        <v>5111.111111</v>
      </c>
      <c r="G29" s="53">
        <f>payroll!G23</f>
        <v>5111.111111</v>
      </c>
      <c r="H29" s="53">
        <f>payroll!H23</f>
        <v>5111.111111</v>
      </c>
      <c r="I29" s="53">
        <f>payroll!I23</f>
        <v>5111.111111</v>
      </c>
      <c r="J29" s="53">
        <f>payroll!J23</f>
        <v>5111.111111</v>
      </c>
      <c r="K29" s="53">
        <f>payroll!K23</f>
        <v>5111.111111</v>
      </c>
      <c r="L29" s="53">
        <f>payroll!L23</f>
        <v>5111.111111</v>
      </c>
      <c r="M29" s="53">
        <f>payroll!M23</f>
        <v>5111.111111</v>
      </c>
      <c r="N29" s="53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 t="s">
        <v>218</v>
      </c>
      <c r="B30" s="53"/>
      <c r="C30" s="53"/>
      <c r="D30" s="53">
        <v>90000.0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 t="s">
        <v>219</v>
      </c>
      <c r="B31" s="53"/>
      <c r="C31" s="53"/>
      <c r="D31" s="53">
        <v>2000.0</v>
      </c>
      <c r="E31" s="53">
        <v>2000.0</v>
      </c>
      <c r="F31" s="53">
        <v>2000.0</v>
      </c>
      <c r="G31" s="53"/>
      <c r="H31" s="53"/>
      <c r="I31" s="53"/>
      <c r="J31" s="53"/>
      <c r="K31" s="53"/>
      <c r="L31" s="53"/>
      <c r="M31" s="53"/>
      <c r="N31" s="53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 t="s">
        <v>220</v>
      </c>
      <c r="B32" s="53"/>
      <c r="C32" s="53"/>
      <c r="D32" s="53">
        <v>1000.0</v>
      </c>
      <c r="E32" s="53">
        <v>1000.0</v>
      </c>
      <c r="F32" s="53">
        <v>1000.0</v>
      </c>
      <c r="G32" s="53"/>
      <c r="H32" s="53"/>
      <c r="I32" s="53"/>
      <c r="J32" s="53"/>
      <c r="K32" s="53"/>
      <c r="L32" s="53"/>
      <c r="M32" s="53"/>
      <c r="N32" s="53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 t="s">
        <v>221</v>
      </c>
      <c r="B33" s="53"/>
      <c r="C33" s="53"/>
      <c r="D33" s="53">
        <v>1000.0</v>
      </c>
      <c r="E33" s="53">
        <v>1000.0</v>
      </c>
      <c r="F33" s="53">
        <v>1000.0</v>
      </c>
      <c r="G33" s="53">
        <v>500.0</v>
      </c>
      <c r="H33" s="53">
        <v>500.0</v>
      </c>
      <c r="I33" s="53">
        <v>500.0</v>
      </c>
      <c r="J33" s="53">
        <v>500.0</v>
      </c>
      <c r="K33" s="53">
        <v>500.0</v>
      </c>
      <c r="L33" s="53">
        <v>500.0</v>
      </c>
      <c r="M33" s="53">
        <v>500.0</v>
      </c>
      <c r="N33" s="53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 t="s">
        <v>224</v>
      </c>
      <c r="B34" s="53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3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 t="s">
        <v>379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 t="s">
        <v>233</v>
      </c>
      <c r="B36" s="53"/>
      <c r="C36" s="53"/>
      <c r="D36" s="53">
        <v>800.0</v>
      </c>
      <c r="E36" s="53">
        <v>800.0</v>
      </c>
      <c r="F36" s="53">
        <v>800.0</v>
      </c>
      <c r="G36" s="53">
        <v>800.0</v>
      </c>
      <c r="H36" s="53">
        <v>800.0</v>
      </c>
      <c r="I36" s="53">
        <v>800.0</v>
      </c>
      <c r="J36" s="53">
        <v>800.0</v>
      </c>
      <c r="K36" s="53">
        <v>800.0</v>
      </c>
      <c r="L36" s="53">
        <v>800.0</v>
      </c>
      <c r="M36" s="53">
        <v>800.0</v>
      </c>
      <c r="N36" s="53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 t="s">
        <v>234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 t="s">
        <v>222</v>
      </c>
      <c r="B38" s="62">
        <v>0.2</v>
      </c>
      <c r="C38" s="62">
        <v>0.2</v>
      </c>
      <c r="D38" s="62">
        <v>0.2</v>
      </c>
      <c r="E38" s="62">
        <v>0.2</v>
      </c>
      <c r="F38" s="62">
        <v>0.2</v>
      </c>
      <c r="G38" s="62">
        <v>0.2</v>
      </c>
      <c r="H38" s="62">
        <v>0.2</v>
      </c>
      <c r="I38" s="62">
        <v>0.2</v>
      </c>
      <c r="J38" s="62">
        <v>0.2</v>
      </c>
      <c r="K38" s="62">
        <v>0.2</v>
      </c>
      <c r="L38" s="62">
        <v>0.2</v>
      </c>
      <c r="M38" s="62">
        <v>0.2</v>
      </c>
      <c r="N38" s="53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 t="s">
        <v>223</v>
      </c>
      <c r="B39" s="59">
        <f t="shared" ref="B39:M39" si="8">B21*B38</f>
        <v>0</v>
      </c>
      <c r="C39" s="59">
        <f t="shared" si="8"/>
        <v>0</v>
      </c>
      <c r="D39" s="59">
        <f t="shared" si="8"/>
        <v>0</v>
      </c>
      <c r="E39" s="59">
        <f t="shared" si="8"/>
        <v>0</v>
      </c>
      <c r="F39" s="59">
        <f t="shared" si="8"/>
        <v>0</v>
      </c>
      <c r="G39" s="59">
        <f t="shared" si="8"/>
        <v>2000</v>
      </c>
      <c r="H39" s="59">
        <f t="shared" si="8"/>
        <v>4920</v>
      </c>
      <c r="I39" s="59">
        <f t="shared" si="8"/>
        <v>7440</v>
      </c>
      <c r="J39" s="59">
        <f t="shared" si="8"/>
        <v>9240</v>
      </c>
      <c r="K39" s="59">
        <f t="shared" si="8"/>
        <v>13440</v>
      </c>
      <c r="L39" s="59">
        <f t="shared" si="8"/>
        <v>15840</v>
      </c>
      <c r="M39" s="59">
        <f t="shared" si="8"/>
        <v>15840</v>
      </c>
      <c r="N39" s="53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 t="s">
        <v>238</v>
      </c>
      <c r="B40" s="53">
        <f t="shared" ref="B40:M40" si="9">B29+B30+B31+B32+B33+B34+B35+B36+B37+B24+B23</f>
        <v>0</v>
      </c>
      <c r="C40" s="53">
        <f t="shared" si="9"/>
        <v>0</v>
      </c>
      <c r="D40" s="53">
        <f t="shared" si="9"/>
        <v>94800</v>
      </c>
      <c r="E40" s="53">
        <f t="shared" si="9"/>
        <v>8761.111111</v>
      </c>
      <c r="F40" s="53">
        <f t="shared" si="9"/>
        <v>14911.11111</v>
      </c>
      <c r="G40" s="53">
        <f t="shared" si="9"/>
        <v>14411.11111</v>
      </c>
      <c r="H40" s="53">
        <f t="shared" si="9"/>
        <v>23791.11111</v>
      </c>
      <c r="I40" s="53">
        <f t="shared" si="9"/>
        <v>27571.11111</v>
      </c>
      <c r="J40" s="53">
        <f t="shared" si="9"/>
        <v>30271.11111</v>
      </c>
      <c r="K40" s="53">
        <f t="shared" si="9"/>
        <v>41571.11111</v>
      </c>
      <c r="L40" s="53">
        <f t="shared" si="9"/>
        <v>45171.11111</v>
      </c>
      <c r="M40" s="53">
        <f t="shared" si="9"/>
        <v>45171.11111</v>
      </c>
      <c r="N40" s="53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 t="s">
        <v>380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 t="s">
        <v>381</v>
      </c>
      <c r="B42" s="53">
        <f t="shared" ref="B42:M42" si="10">B21-B40-B39</f>
        <v>0</v>
      </c>
      <c r="C42" s="53">
        <f t="shared" si="10"/>
        <v>0</v>
      </c>
      <c r="D42" s="53">
        <f t="shared" si="10"/>
        <v>-94800</v>
      </c>
      <c r="E42" s="53">
        <f t="shared" si="10"/>
        <v>-8761.111111</v>
      </c>
      <c r="F42" s="53">
        <f t="shared" si="10"/>
        <v>-14911.11111</v>
      </c>
      <c r="G42" s="53">
        <f t="shared" si="10"/>
        <v>-6411.111111</v>
      </c>
      <c r="H42" s="53">
        <f t="shared" si="10"/>
        <v>-4111.111111</v>
      </c>
      <c r="I42" s="53">
        <f t="shared" si="10"/>
        <v>2188.888889</v>
      </c>
      <c r="J42" s="53">
        <f t="shared" si="10"/>
        <v>6688.888889</v>
      </c>
      <c r="K42" s="53">
        <f t="shared" si="10"/>
        <v>12188.88889</v>
      </c>
      <c r="L42" s="53">
        <f t="shared" si="10"/>
        <v>18188.88889</v>
      </c>
      <c r="M42" s="53">
        <f t="shared" si="10"/>
        <v>18188.88889</v>
      </c>
      <c r="N42" s="53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 t="s">
        <v>171</v>
      </c>
      <c r="B43" s="47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53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 t="s">
        <v>382</v>
      </c>
      <c r="B44" s="47"/>
      <c r="C44" s="47"/>
      <c r="D44" s="47"/>
      <c r="E44" s="47"/>
      <c r="F44" s="47"/>
      <c r="G44" s="47"/>
      <c r="H44" s="62"/>
      <c r="I44" s="62"/>
      <c r="J44" s="62"/>
      <c r="K44" s="62"/>
      <c r="L44" s="62"/>
      <c r="M44" s="62"/>
      <c r="N44" s="62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47"/>
      <c r="F45" s="47"/>
      <c r="G45" s="47"/>
      <c r="H45" s="62"/>
      <c r="I45" s="62"/>
      <c r="J45" s="62"/>
      <c r="K45" s="62"/>
      <c r="L45" s="62"/>
      <c r="M45" s="62"/>
      <c r="N45" s="62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 t="s">
        <v>383</v>
      </c>
      <c r="B46" s="53">
        <f t="shared" ref="B46:M46" si="11">B40-B24</f>
        <v>0</v>
      </c>
      <c r="C46" s="53">
        <f t="shared" si="11"/>
        <v>0</v>
      </c>
      <c r="D46" s="53">
        <f t="shared" si="11"/>
        <v>94800</v>
      </c>
      <c r="E46" s="53">
        <f t="shared" si="11"/>
        <v>8761.111111</v>
      </c>
      <c r="F46" s="53">
        <f t="shared" si="11"/>
        <v>9911.111111</v>
      </c>
      <c r="G46" s="53">
        <f t="shared" si="11"/>
        <v>9411.111111</v>
      </c>
      <c r="H46" s="53">
        <f t="shared" si="11"/>
        <v>13791.11111</v>
      </c>
      <c r="I46" s="53">
        <f t="shared" si="11"/>
        <v>17571.11111</v>
      </c>
      <c r="J46" s="53">
        <f t="shared" si="11"/>
        <v>20271.11111</v>
      </c>
      <c r="K46" s="53">
        <f t="shared" si="11"/>
        <v>26571.11111</v>
      </c>
      <c r="L46" s="53">
        <f t="shared" si="11"/>
        <v>30171.11111</v>
      </c>
      <c r="M46" s="53">
        <f t="shared" si="11"/>
        <v>30171.11111</v>
      </c>
      <c r="N46" s="71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47"/>
      <c r="F48" s="148"/>
      <c r="G48" s="47"/>
      <c r="H48" s="62"/>
      <c r="I48" s="62"/>
      <c r="J48" s="62"/>
      <c r="K48" s="62"/>
      <c r="L48" s="62"/>
      <c r="M48" s="62"/>
      <c r="N48" s="62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47"/>
      <c r="F49" s="47"/>
      <c r="G49" s="47"/>
      <c r="H49" s="62"/>
      <c r="I49" s="62"/>
      <c r="J49" s="62"/>
      <c r="K49" s="62"/>
      <c r="L49" s="62"/>
      <c r="M49" s="62"/>
      <c r="N49" s="62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3"/>
      <c r="M50" s="73"/>
      <c r="N50" s="73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74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74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74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74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74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75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74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74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66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</sheetData>
  <mergeCells count="2">
    <mergeCell ref="B1:D1"/>
    <mergeCell ref="K1:M1"/>
  </mergeCells>
  <conditionalFormatting sqref="C41:M41 C43:M43 N41:N43">
    <cfRule type="cellIs" dxfId="0" priority="1" operator="lessThan">
      <formula>0</formula>
    </cfRule>
  </conditionalFormatting>
  <conditionalFormatting sqref="C41:M41 C43:M43 N41:N43">
    <cfRule type="cellIs" dxfId="1" priority="2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1.22" defaultRowHeight="15.0"/>
  <cols>
    <col customWidth="1" min="1" max="1" width="19.22"/>
    <col customWidth="1" min="2" max="4" width="8.33"/>
    <col customWidth="1" min="5" max="12" width="9.67"/>
    <col customWidth="1" min="13" max="13" width="10.44"/>
    <col customWidth="1" min="14" max="14" width="12.44"/>
    <col customWidth="1" min="15" max="15" width="7.56"/>
    <col customWidth="1" min="16" max="23" width="8.33"/>
  </cols>
  <sheetData>
    <row r="1" ht="15.75" customHeight="1">
      <c r="A1" s="153"/>
      <c r="B1" s="154" t="s">
        <v>67</v>
      </c>
      <c r="E1" s="155" t="s">
        <v>68</v>
      </c>
      <c r="F1" s="155"/>
      <c r="G1" s="155"/>
      <c r="H1" s="156" t="s">
        <v>69</v>
      </c>
      <c r="I1" s="156"/>
      <c r="J1" s="156"/>
      <c r="K1" s="157" t="s">
        <v>70</v>
      </c>
      <c r="N1" s="158"/>
      <c r="O1" s="158"/>
    </row>
    <row r="2" ht="15.75" customHeight="1">
      <c r="A2" s="159" t="s">
        <v>384</v>
      </c>
      <c r="B2" s="4">
        <v>2026.0</v>
      </c>
      <c r="C2" s="4">
        <v>2026.0</v>
      </c>
      <c r="D2" s="4">
        <v>2026.0</v>
      </c>
      <c r="E2" s="32">
        <v>2026.0</v>
      </c>
      <c r="F2" s="32">
        <v>2026.0</v>
      </c>
      <c r="G2" s="32">
        <v>2026.0</v>
      </c>
      <c r="H2" s="33">
        <v>2026.0</v>
      </c>
      <c r="I2" s="33">
        <v>2026.0</v>
      </c>
      <c r="J2" s="33">
        <v>2026.0</v>
      </c>
      <c r="K2" s="34">
        <v>2026.0</v>
      </c>
      <c r="L2" s="34">
        <v>2026.0</v>
      </c>
      <c r="M2" s="34">
        <v>2026.0</v>
      </c>
      <c r="N2" s="160"/>
      <c r="O2" s="160"/>
    </row>
    <row r="3" ht="15.75" customHeight="1">
      <c r="A3" s="160"/>
      <c r="B3" s="4" t="s">
        <v>180</v>
      </c>
      <c r="C3" s="4" t="s">
        <v>181</v>
      </c>
      <c r="D3" s="4" t="s">
        <v>182</v>
      </c>
      <c r="E3" s="32" t="s">
        <v>183</v>
      </c>
      <c r="F3" s="32" t="s">
        <v>184</v>
      </c>
      <c r="G3" s="32" t="s">
        <v>185</v>
      </c>
      <c r="H3" s="33" t="s">
        <v>186</v>
      </c>
      <c r="I3" s="33" t="s">
        <v>187</v>
      </c>
      <c r="J3" s="33" t="s">
        <v>188</v>
      </c>
      <c r="K3" s="34" t="s">
        <v>189</v>
      </c>
      <c r="L3" s="34" t="s">
        <v>190</v>
      </c>
      <c r="M3" s="34" t="s">
        <v>191</v>
      </c>
      <c r="N3" s="4"/>
      <c r="O3" s="4"/>
    </row>
    <row r="4" ht="15.75" customHeight="1">
      <c r="A4" s="161" t="s">
        <v>385</v>
      </c>
      <c r="D4" s="2">
        <v>1.0</v>
      </c>
      <c r="E4" s="2">
        <v>1.0</v>
      </c>
      <c r="F4" s="2">
        <v>1.0</v>
      </c>
      <c r="G4" s="2">
        <v>1.0</v>
      </c>
      <c r="H4" s="2">
        <v>1.0</v>
      </c>
      <c r="I4" s="2">
        <v>1.0</v>
      </c>
      <c r="J4" s="2">
        <v>1.0</v>
      </c>
      <c r="K4" s="2">
        <v>1.0</v>
      </c>
      <c r="L4" s="2">
        <v>1.0</v>
      </c>
      <c r="M4" s="2">
        <v>1.0</v>
      </c>
      <c r="N4" s="162"/>
      <c r="O4" s="8"/>
    </row>
    <row r="5" ht="15.75" customHeight="1">
      <c r="A5" s="161" t="s">
        <v>386</v>
      </c>
      <c r="B5" s="2">
        <v>1.0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1.0</v>
      </c>
      <c r="J5" s="2">
        <v>1.0</v>
      </c>
      <c r="K5" s="2">
        <v>1.0</v>
      </c>
      <c r="L5" s="2">
        <v>1.0</v>
      </c>
      <c r="M5" s="2">
        <v>1.0</v>
      </c>
      <c r="N5" s="162"/>
      <c r="O5" s="8"/>
    </row>
    <row r="6" ht="15.75" customHeight="1">
      <c r="A6" s="161"/>
      <c r="N6" s="162"/>
      <c r="O6" s="8"/>
    </row>
    <row r="7" ht="15.75" customHeight="1">
      <c r="A7" s="161"/>
      <c r="N7" s="8"/>
      <c r="O7" s="8"/>
    </row>
    <row r="8" ht="15.75" customHeight="1">
      <c r="A8" s="161"/>
      <c r="N8" s="8"/>
      <c r="O8" s="8"/>
    </row>
    <row r="9" ht="15.75" customHeight="1">
      <c r="A9" s="161"/>
      <c r="N9" s="8"/>
      <c r="O9" s="8"/>
    </row>
    <row r="11" ht="15.75" customHeight="1">
      <c r="A11" s="163" t="s">
        <v>387</v>
      </c>
      <c r="B11" s="160"/>
      <c r="C11" s="160"/>
      <c r="D11" s="160"/>
      <c r="E11" s="160"/>
      <c r="F11" s="160"/>
      <c r="G11" s="164"/>
      <c r="H11" s="160"/>
      <c r="I11" s="160"/>
      <c r="J11" s="160"/>
      <c r="K11" s="160"/>
      <c r="L11" s="160"/>
      <c r="M11" s="160"/>
      <c r="N11" s="160"/>
      <c r="O11" s="160" t="s">
        <v>388</v>
      </c>
      <c r="P11" s="160"/>
      <c r="Q11" s="160"/>
      <c r="R11" s="160"/>
      <c r="S11" s="160"/>
      <c r="T11" s="160"/>
      <c r="U11" s="160"/>
      <c r="V11" s="160"/>
      <c r="W11" s="160"/>
    </row>
    <row r="12" ht="15.75" customHeight="1">
      <c r="A12" s="161" t="s">
        <v>385</v>
      </c>
      <c r="B12" s="8"/>
      <c r="C12" s="165"/>
      <c r="D12" s="165"/>
      <c r="E12" s="165">
        <v>199000.0</v>
      </c>
      <c r="F12" s="165">
        <v>199000.0</v>
      </c>
      <c r="G12" s="165">
        <v>199000.0</v>
      </c>
      <c r="H12" s="165">
        <v>199000.0</v>
      </c>
      <c r="I12" s="165">
        <v>199000.0</v>
      </c>
      <c r="J12" s="165">
        <v>199000.0</v>
      </c>
      <c r="K12" s="165">
        <v>199000.0</v>
      </c>
      <c r="L12" s="165">
        <v>199000.0</v>
      </c>
      <c r="M12" s="165">
        <v>199000.0</v>
      </c>
      <c r="N12" s="166"/>
      <c r="O12" s="167">
        <v>0.18</v>
      </c>
    </row>
    <row r="13" ht="15.75" customHeight="1">
      <c r="A13" s="161" t="s">
        <v>386</v>
      </c>
      <c r="B13" s="8"/>
      <c r="C13" s="8"/>
      <c r="D13" s="8"/>
      <c r="E13" s="8">
        <v>111000.0</v>
      </c>
      <c r="F13" s="8">
        <v>111000.0</v>
      </c>
      <c r="G13" s="8">
        <v>111000.0</v>
      </c>
      <c r="H13" s="8">
        <v>111000.0</v>
      </c>
      <c r="I13" s="8">
        <v>111000.0</v>
      </c>
      <c r="J13" s="8">
        <v>111000.0</v>
      </c>
      <c r="K13" s="8">
        <v>111000.0</v>
      </c>
      <c r="L13" s="8">
        <v>111000.0</v>
      </c>
      <c r="M13" s="8">
        <v>111000.0</v>
      </c>
      <c r="N13" s="166"/>
      <c r="O13" s="167">
        <v>0.15</v>
      </c>
    </row>
    <row r="14" ht="15.75" customHeight="1">
      <c r="A14" s="161" t="s">
        <v>389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166"/>
      <c r="O14" s="167">
        <v>0.15</v>
      </c>
    </row>
    <row r="15" ht="15.75" customHeight="1">
      <c r="A15" s="16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66"/>
      <c r="O15" s="167">
        <v>0.15</v>
      </c>
    </row>
    <row r="16" ht="15.75" customHeight="1">
      <c r="A16" s="161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166"/>
    </row>
    <row r="17" ht="15.75" customHeight="1">
      <c r="A17" s="161" t="s">
        <v>390</v>
      </c>
      <c r="D17" s="166"/>
      <c r="E17" s="166"/>
      <c r="F17" s="166">
        <v>90000.0</v>
      </c>
      <c r="G17" s="166">
        <v>90000.0</v>
      </c>
      <c r="H17" s="166">
        <v>90000.0</v>
      </c>
      <c r="I17" s="166">
        <v>90000.0</v>
      </c>
      <c r="J17" s="166">
        <v>90000.0</v>
      </c>
      <c r="K17" s="166">
        <v>90000.0</v>
      </c>
      <c r="L17" s="166">
        <v>90000.0</v>
      </c>
      <c r="M17" s="166">
        <v>90000.0</v>
      </c>
      <c r="N17" s="166"/>
      <c r="O17" s="167">
        <v>0.13</v>
      </c>
    </row>
    <row r="18" ht="15.75" customHeight="1"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6"/>
    </row>
    <row r="19" ht="15.75" customHeight="1">
      <c r="N19" s="166"/>
    </row>
    <row r="20" ht="15.75" customHeight="1">
      <c r="N20" s="166"/>
    </row>
    <row r="21" ht="15.75" customHeight="1">
      <c r="N21" s="166"/>
    </row>
    <row r="22" ht="15.75" customHeight="1">
      <c r="A22" s="2" t="s">
        <v>391</v>
      </c>
      <c r="B22" s="169">
        <f t="shared" ref="B22:M22" si="1">sum(B12:B21)</f>
        <v>0</v>
      </c>
      <c r="C22" s="169">
        <f t="shared" si="1"/>
        <v>0</v>
      </c>
      <c r="D22" s="169">
        <f t="shared" si="1"/>
        <v>0</v>
      </c>
      <c r="E22" s="169">
        <f t="shared" si="1"/>
        <v>310000</v>
      </c>
      <c r="F22" s="169">
        <f t="shared" si="1"/>
        <v>400000</v>
      </c>
      <c r="G22" s="169">
        <f t="shared" si="1"/>
        <v>400000</v>
      </c>
      <c r="H22" s="169">
        <f t="shared" si="1"/>
        <v>400000</v>
      </c>
      <c r="I22" s="169">
        <f t="shared" si="1"/>
        <v>400000</v>
      </c>
      <c r="J22" s="169">
        <f t="shared" si="1"/>
        <v>400000</v>
      </c>
      <c r="K22" s="169">
        <f t="shared" si="1"/>
        <v>400000</v>
      </c>
      <c r="L22" s="169">
        <f t="shared" si="1"/>
        <v>400000</v>
      </c>
      <c r="M22" s="169">
        <f t="shared" si="1"/>
        <v>400000</v>
      </c>
      <c r="N22" s="169">
        <f>sum(B22:M22)</f>
        <v>3510000</v>
      </c>
    </row>
    <row r="23" ht="15.75" customHeight="1">
      <c r="A23" s="2" t="s">
        <v>392</v>
      </c>
      <c r="B23" s="166">
        <f t="shared" ref="B23:M23" si="2">(B22*1.15)/90</f>
        <v>0</v>
      </c>
      <c r="C23" s="166">
        <f t="shared" si="2"/>
        <v>0</v>
      </c>
      <c r="D23" s="166">
        <f t="shared" si="2"/>
        <v>0</v>
      </c>
      <c r="E23" s="166">
        <f t="shared" si="2"/>
        <v>3961.111111</v>
      </c>
      <c r="F23" s="166">
        <f t="shared" si="2"/>
        <v>5111.111111</v>
      </c>
      <c r="G23" s="166">
        <f t="shared" si="2"/>
        <v>5111.111111</v>
      </c>
      <c r="H23" s="166">
        <f t="shared" si="2"/>
        <v>5111.111111</v>
      </c>
      <c r="I23" s="166">
        <f t="shared" si="2"/>
        <v>5111.111111</v>
      </c>
      <c r="J23" s="166">
        <f t="shared" si="2"/>
        <v>5111.111111</v>
      </c>
      <c r="K23" s="166">
        <f t="shared" si="2"/>
        <v>5111.111111</v>
      </c>
      <c r="L23" s="166">
        <f t="shared" si="2"/>
        <v>5111.111111</v>
      </c>
      <c r="M23" s="166">
        <f t="shared" si="2"/>
        <v>5111.111111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B1:D1"/>
    <mergeCell ref="K1:M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2023-03-17T09:20:19Z</dcterms:created>
  <dc:creator>Arseniy Manushkin</dc:creator>
</cp:coreProperties>
</file>