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ЕС" sheetId="1" r:id="rId5"/>
    <sheet state="visible" name="Иноситол DE" sheetId="2" r:id="rId6"/>
    <sheet state="visible" name="Магний DE" sheetId="3" r:id="rId7"/>
    <sheet state="visible" name="Пробиотик Люди DE" sheetId="4" r:id="rId8"/>
    <sheet state="visible" name="Пробиотик животные DE" sheetId="5" r:id="rId9"/>
    <sheet state="visible" name="Ретинол DE" sheetId="6" r:id="rId10"/>
  </sheets>
  <definedNames/>
  <calcPr/>
</workbook>
</file>

<file path=xl/sharedStrings.xml><?xml version="1.0" encoding="utf-8"?>
<sst xmlns="http://schemas.openxmlformats.org/spreadsheetml/2006/main" count="362" uniqueCount="48">
  <si>
    <t>PPC</t>
  </si>
  <si>
    <t>Month</t>
  </si>
  <si>
    <t>Click per/day</t>
  </si>
  <si>
    <t>Day per month</t>
  </si>
  <si>
    <t>Click Month</t>
  </si>
  <si>
    <t>CPC</t>
  </si>
  <si>
    <t>CVR</t>
  </si>
  <si>
    <t>Number of Sales</t>
  </si>
  <si>
    <t>Number of Client</t>
  </si>
  <si>
    <t>Vine</t>
  </si>
  <si>
    <t>Coupon 5%</t>
  </si>
  <si>
    <t>Ads Spend</t>
  </si>
  <si>
    <t>Ads Cost 1 Client (CPA TO BUY)</t>
  </si>
  <si>
    <t>Total Product Cost (Cost + Am fee)</t>
  </si>
  <si>
    <t>Product Cost</t>
  </si>
  <si>
    <t>Total Amazon Fee</t>
  </si>
  <si>
    <t>FBA Cost</t>
  </si>
  <si>
    <t>Amazon Fee 15%</t>
  </si>
  <si>
    <t>Sales Price</t>
  </si>
  <si>
    <t>Profit With Ads Spend 1 pcs</t>
  </si>
  <si>
    <t>Profit Without Ads 1 pcs</t>
  </si>
  <si>
    <t>ROAS</t>
  </si>
  <si>
    <t>Revenue</t>
  </si>
  <si>
    <t>Gross Profit</t>
  </si>
  <si>
    <t>Net Profit, PPC</t>
  </si>
  <si>
    <t>Retention 2</t>
  </si>
  <si>
    <t>Net Profit With LTV 2(60day)</t>
  </si>
  <si>
    <t>Retention 3</t>
  </si>
  <si>
    <t>Net Profit With LTV 3</t>
  </si>
  <si>
    <t>Total Net Profit LTV</t>
  </si>
  <si>
    <t>Organic</t>
  </si>
  <si>
    <t>% Number of Organic Sales from PPC</t>
  </si>
  <si>
    <t>Number Of Organic Sales</t>
  </si>
  <si>
    <t>Number Of Organic Clients</t>
  </si>
  <si>
    <t>Total Product Cost</t>
  </si>
  <si>
    <t>Profit 1 pcs</t>
  </si>
  <si>
    <t>Net Profit</t>
  </si>
  <si>
    <t>Total Organic + PPC</t>
  </si>
  <si>
    <t>Total Number Sales</t>
  </si>
  <si>
    <t>Net Profit, PPC+Organic</t>
  </si>
  <si>
    <t xml:space="preserve">TACOS </t>
  </si>
  <si>
    <t>Total Net Profit All</t>
  </si>
  <si>
    <t>Coupon 20% -5% по мес</t>
  </si>
  <si>
    <t>daily spend</t>
  </si>
  <si>
    <t>Ads Spend|Day</t>
  </si>
  <si>
    <t>CPA</t>
  </si>
  <si>
    <t>margin</t>
  </si>
  <si>
    <t>Coupon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</si>
</sst>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left" vertical="bottom"/>
    </xf>
    <xf borderId="1" fillId="0" fontId="2" numFmtId="0" xfId="0" applyBorder="1" applyFont="1"/>
    <xf borderId="0" fillId="0" fontId="3" numFmtId="2" xfId="0" applyFont="1" applyNumberFormat="1"/>
    <xf borderId="0" fillId="0" fontId="4" numFmtId="2" xfId="0" applyAlignment="1" applyFont="1" applyNumberFormat="1">
      <alignment horizontal="left" vertical="bottom"/>
    </xf>
    <xf borderId="0" fillId="0" fontId="1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left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4" numFmtId="2" xfId="0" applyAlignment="1" applyFont="1" applyNumberFormat="1">
      <alignment horizontal="left" readingOrder="0" vertical="bottom"/>
    </xf>
    <xf borderId="0" fillId="3" fontId="1" numFmtId="2" xfId="0" applyAlignment="1" applyFill="1" applyFont="1" applyNumberFormat="1">
      <alignment horizontal="right" vertical="bottom"/>
    </xf>
    <xf borderId="0" fillId="3" fontId="4" numFmtId="2" xfId="0" applyAlignment="1" applyFont="1" applyNumberFormat="1">
      <alignment horizontal="left" vertical="bottom"/>
    </xf>
    <xf borderId="0" fillId="4" fontId="4" numFmtId="2" xfId="0" applyAlignment="1" applyFill="1" applyFont="1" applyNumberFormat="1">
      <alignment horizontal="left" vertical="bottom"/>
    </xf>
    <xf borderId="0" fillId="0" fontId="4" numFmtId="2" xfId="0" applyAlignment="1" applyFont="1" applyNumberFormat="1">
      <alignment vertical="bottom"/>
    </xf>
    <xf borderId="0" fillId="0" fontId="4" numFmtId="2" xfId="0" applyAlignment="1" applyFont="1" applyNumberFormat="1">
      <alignment horizontal="right" readingOrder="0" vertical="bottom"/>
    </xf>
    <xf borderId="0" fillId="0" fontId="4" numFmtId="2" xfId="0" applyAlignment="1" applyFont="1" applyNumberFormat="1">
      <alignment horizontal="center" vertical="bottom"/>
    </xf>
    <xf borderId="0" fillId="5" fontId="1" numFmtId="2" xfId="0" applyAlignment="1" applyFill="1" applyFont="1" applyNumberFormat="1">
      <alignment horizontal="left" vertical="bottom"/>
    </xf>
    <xf borderId="0" fillId="6" fontId="1" numFmtId="2" xfId="0" applyAlignment="1" applyFill="1" applyFont="1" applyNumberFormat="1">
      <alignment horizontal="left" vertical="bottom"/>
    </xf>
    <xf borderId="2" fillId="0" fontId="4" numFmtId="2" xfId="0" applyAlignment="1" applyBorder="1" applyFont="1" applyNumberFormat="1">
      <alignment horizontal="left" vertical="bottom"/>
    </xf>
    <xf borderId="3" fillId="0" fontId="4" numFmtId="2" xfId="0" applyAlignment="1" applyBorder="1" applyFont="1" applyNumberFormat="1">
      <alignment horizontal="right" vertical="bottom"/>
    </xf>
    <xf borderId="0" fillId="7" fontId="4" numFmtId="2" xfId="0" applyAlignment="1" applyFill="1" applyFont="1" applyNumberFormat="1">
      <alignment horizontal="left" vertical="bottom"/>
    </xf>
    <xf borderId="0" fillId="0" fontId="3" numFmtId="2" xfId="0" applyAlignment="1" applyFont="1" applyNumberFormat="1">
      <alignment horizontal="left"/>
    </xf>
    <xf borderId="0" fillId="3" fontId="1" numFmtId="2" xfId="0" applyAlignment="1" applyFont="1" applyNumberFormat="1">
      <alignment horizontal="right" readingOrder="0" vertical="bottom"/>
    </xf>
    <xf borderId="0" fillId="3" fontId="4" numFmtId="2" xfId="0" applyAlignment="1" applyFont="1" applyNumberFormat="1">
      <alignment horizontal="left" readingOrder="0" vertical="bottom"/>
    </xf>
    <xf borderId="0" fillId="3" fontId="1" numFmtId="2" xfId="0" applyAlignment="1" applyFont="1" applyNumberForma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6" numFmtId="9" xfId="0" applyFont="1" applyNumberFormat="1"/>
    <xf borderId="0" fillId="0" fontId="7" numFmtId="0" xfId="0" applyAlignment="1" applyFont="1">
      <alignment horizontal="left" readingOrder="0" vertical="bottom"/>
    </xf>
    <xf borderId="0" fillId="0" fontId="7" numFmtId="9" xfId="0" applyAlignment="1" applyFont="1" applyNumberFormat="1">
      <alignment horizontal="right" readingOrder="0" vertical="bottom"/>
    </xf>
    <xf borderId="0" fillId="0" fontId="8" numFmtId="9" xfId="0" applyFont="1" applyNumberFormat="1"/>
    <xf borderId="0" fillId="3" fontId="3" numFmtId="2" xfId="0" applyFont="1" applyNumberFormat="1"/>
    <xf borderId="0" fillId="0" fontId="9" numFmtId="2" xfId="0" applyFont="1" applyNumberFormat="1"/>
    <xf borderId="0" fillId="7" fontId="1" numFmtId="2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752475</xdr:colOff>
      <xdr:row>0</xdr:row>
      <xdr:rowOff>0</xdr:rowOff>
    </xdr:from>
    <xdr:ext cx="8867775" cy="66389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400050</xdr:colOff>
      <xdr:row>0</xdr:row>
      <xdr:rowOff>104775</xdr:rowOff>
    </xdr:from>
    <xdr:ext cx="10334625" cy="43338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962025</xdr:colOff>
      <xdr:row>0</xdr:row>
      <xdr:rowOff>200025</xdr:rowOff>
    </xdr:from>
    <xdr:ext cx="11144250" cy="4772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11753850" cy="34290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942975</xdr:colOff>
      <xdr:row>0</xdr:row>
      <xdr:rowOff>171450</xdr:rowOff>
    </xdr:from>
    <xdr:ext cx="10372725" cy="174307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85725</xdr:colOff>
      <xdr:row>0</xdr:row>
      <xdr:rowOff>200025</xdr:rowOff>
    </xdr:from>
    <xdr:ext cx="8258175" cy="150495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</v>
      </c>
      <c r="B3" s="8">
        <v>10.0</v>
      </c>
      <c r="C3" s="5">
        <f t="shared" ref="C3:M3" si="1">B3+10</f>
        <v>20</v>
      </c>
      <c r="D3" s="5">
        <f t="shared" si="1"/>
        <v>30</v>
      </c>
      <c r="E3" s="5">
        <f t="shared" si="1"/>
        <v>40</v>
      </c>
      <c r="F3" s="5">
        <f t="shared" si="1"/>
        <v>50</v>
      </c>
      <c r="G3" s="5">
        <f t="shared" si="1"/>
        <v>60</v>
      </c>
      <c r="H3" s="5">
        <f t="shared" si="1"/>
        <v>70</v>
      </c>
      <c r="I3" s="5">
        <f t="shared" si="1"/>
        <v>80</v>
      </c>
      <c r="J3" s="5">
        <f t="shared" si="1"/>
        <v>90</v>
      </c>
      <c r="K3" s="5">
        <f t="shared" si="1"/>
        <v>100</v>
      </c>
      <c r="L3" s="5">
        <f t="shared" si="1"/>
        <v>110</v>
      </c>
      <c r="M3" s="5">
        <f t="shared" si="1"/>
        <v>120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5">
        <f t="shared" ref="B5:M5" si="2">B3*B4</f>
        <v>300</v>
      </c>
      <c r="C5" s="5">
        <f t="shared" si="2"/>
        <v>600</v>
      </c>
      <c r="D5" s="5">
        <f t="shared" si="2"/>
        <v>900</v>
      </c>
      <c r="E5" s="5">
        <f t="shared" si="2"/>
        <v>1200</v>
      </c>
      <c r="F5" s="5">
        <f t="shared" si="2"/>
        <v>1500</v>
      </c>
      <c r="G5" s="5">
        <f t="shared" si="2"/>
        <v>1800</v>
      </c>
      <c r="H5" s="5">
        <f t="shared" si="2"/>
        <v>2100</v>
      </c>
      <c r="I5" s="5">
        <f t="shared" si="2"/>
        <v>2400</v>
      </c>
      <c r="J5" s="5">
        <f t="shared" si="2"/>
        <v>2700</v>
      </c>
      <c r="K5" s="5">
        <f t="shared" si="2"/>
        <v>3000</v>
      </c>
      <c r="L5" s="5">
        <f t="shared" si="2"/>
        <v>3300</v>
      </c>
      <c r="M5" s="5">
        <f t="shared" si="2"/>
        <v>3600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</v>
      </c>
      <c r="B6" s="8">
        <v>2.5</v>
      </c>
      <c r="C6" s="8">
        <v>2.5</v>
      </c>
      <c r="D6" s="8">
        <v>2.5</v>
      </c>
      <c r="E6" s="8">
        <v>2.5</v>
      </c>
      <c r="F6" s="8">
        <v>2.5</v>
      </c>
      <c r="G6" s="8">
        <v>2.5</v>
      </c>
      <c r="H6" s="8">
        <v>2.5</v>
      </c>
      <c r="I6" s="8">
        <v>2.5</v>
      </c>
      <c r="J6" s="8">
        <v>2.5</v>
      </c>
      <c r="K6" s="8">
        <v>2.5</v>
      </c>
      <c r="L6" s="8">
        <v>2.5</v>
      </c>
      <c r="M6" s="8">
        <v>2.5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6</v>
      </c>
      <c r="B7" s="5">
        <v>5.0</v>
      </c>
      <c r="C7" s="8">
        <v>7.0</v>
      </c>
      <c r="D7" s="8">
        <v>9.0</v>
      </c>
      <c r="E7" s="8">
        <v>11.0</v>
      </c>
      <c r="F7" s="8">
        <v>12.0</v>
      </c>
      <c r="G7" s="8">
        <v>13.0</v>
      </c>
      <c r="H7" s="8">
        <v>13.0</v>
      </c>
      <c r="I7" s="8">
        <v>14.0</v>
      </c>
      <c r="J7" s="8">
        <v>14.0</v>
      </c>
      <c r="K7" s="8">
        <v>15.0</v>
      </c>
      <c r="L7" s="5">
        <v>15.0</v>
      </c>
      <c r="M7" s="5">
        <v>15.0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6">
        <f t="shared" ref="B8:M8" si="3">B5*B7/100</f>
        <v>15</v>
      </c>
      <c r="C8" s="6">
        <f t="shared" si="3"/>
        <v>42</v>
      </c>
      <c r="D8" s="6">
        <f t="shared" si="3"/>
        <v>81</v>
      </c>
      <c r="E8" s="6">
        <f t="shared" si="3"/>
        <v>132</v>
      </c>
      <c r="F8" s="6">
        <f t="shared" si="3"/>
        <v>180</v>
      </c>
      <c r="G8" s="6">
        <f t="shared" si="3"/>
        <v>234</v>
      </c>
      <c r="H8" s="6">
        <f t="shared" si="3"/>
        <v>273</v>
      </c>
      <c r="I8" s="6">
        <f t="shared" si="3"/>
        <v>336</v>
      </c>
      <c r="J8" s="6">
        <f t="shared" si="3"/>
        <v>378</v>
      </c>
      <c r="K8" s="6">
        <f t="shared" si="3"/>
        <v>450</v>
      </c>
      <c r="L8" s="6">
        <f t="shared" si="3"/>
        <v>495</v>
      </c>
      <c r="M8" s="6">
        <f t="shared" si="3"/>
        <v>540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6">
        <f t="shared" ref="B9:M9" si="4">B8</f>
        <v>15</v>
      </c>
      <c r="C9" s="6">
        <f t="shared" si="4"/>
        <v>42</v>
      </c>
      <c r="D9" s="6">
        <f t="shared" si="4"/>
        <v>81</v>
      </c>
      <c r="E9" s="6">
        <f t="shared" si="4"/>
        <v>132</v>
      </c>
      <c r="F9" s="6">
        <f t="shared" si="4"/>
        <v>180</v>
      </c>
      <c r="G9" s="6">
        <f t="shared" si="4"/>
        <v>234</v>
      </c>
      <c r="H9" s="6">
        <f t="shared" si="4"/>
        <v>273</v>
      </c>
      <c r="I9" s="6">
        <f t="shared" si="4"/>
        <v>336</v>
      </c>
      <c r="J9" s="6">
        <f t="shared" si="4"/>
        <v>378</v>
      </c>
      <c r="K9" s="6">
        <f t="shared" si="4"/>
        <v>450</v>
      </c>
      <c r="L9" s="6">
        <f t="shared" si="4"/>
        <v>495</v>
      </c>
      <c r="M9" s="6">
        <f t="shared" si="4"/>
        <v>540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9</v>
      </c>
      <c r="B10" s="8">
        <v>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10</v>
      </c>
      <c r="B11" s="11">
        <f t="shared" ref="B11:M11" si="5">(0.6+B19*0.05*B8)*0.8</f>
        <v>14.874</v>
      </c>
      <c r="C11" s="11">
        <f t="shared" si="5"/>
        <v>40.7832</v>
      </c>
      <c r="D11" s="11">
        <f t="shared" si="5"/>
        <v>78.2076</v>
      </c>
      <c r="E11" s="11">
        <f t="shared" si="5"/>
        <v>127.1472</v>
      </c>
      <c r="F11" s="11">
        <f t="shared" si="5"/>
        <v>173.208</v>
      </c>
      <c r="G11" s="11">
        <f t="shared" si="5"/>
        <v>225.0264</v>
      </c>
      <c r="H11" s="11">
        <f t="shared" si="5"/>
        <v>262.4508</v>
      </c>
      <c r="I11" s="11">
        <f t="shared" si="5"/>
        <v>322.9056</v>
      </c>
      <c r="J11" s="11">
        <f t="shared" si="5"/>
        <v>363.2088</v>
      </c>
      <c r="K11" s="11">
        <f t="shared" si="5"/>
        <v>432.3</v>
      </c>
      <c r="L11" s="11">
        <f t="shared" si="5"/>
        <v>475.482</v>
      </c>
      <c r="M11" s="11">
        <f t="shared" si="5"/>
        <v>518.664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11</v>
      </c>
      <c r="B12" s="11">
        <f t="shared" ref="B12:M12" si="6">B5*B6+B10+B11</f>
        <v>964.874</v>
      </c>
      <c r="C12" s="11">
        <f t="shared" si="6"/>
        <v>1540.7832</v>
      </c>
      <c r="D12" s="11">
        <f t="shared" si="6"/>
        <v>2328.2076</v>
      </c>
      <c r="E12" s="11">
        <f t="shared" si="6"/>
        <v>3127.1472</v>
      </c>
      <c r="F12" s="11">
        <f t="shared" si="6"/>
        <v>3923.208</v>
      </c>
      <c r="G12" s="11">
        <f t="shared" si="6"/>
        <v>4725.0264</v>
      </c>
      <c r="H12" s="11">
        <f t="shared" si="6"/>
        <v>5512.4508</v>
      </c>
      <c r="I12" s="11">
        <f t="shared" si="6"/>
        <v>6322.9056</v>
      </c>
      <c r="J12" s="11">
        <f t="shared" si="6"/>
        <v>7113.2088</v>
      </c>
      <c r="K12" s="11">
        <f t="shared" si="6"/>
        <v>7932.3</v>
      </c>
      <c r="L12" s="11">
        <f t="shared" si="6"/>
        <v>8725.482</v>
      </c>
      <c r="M12" s="11">
        <f t="shared" si="6"/>
        <v>9518.664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12</v>
      </c>
      <c r="B13" s="6">
        <f t="shared" ref="B13:M13" si="7">B12/B9</f>
        <v>64.32493333</v>
      </c>
      <c r="C13" s="6">
        <f t="shared" si="7"/>
        <v>36.68531429</v>
      </c>
      <c r="D13" s="6">
        <f t="shared" si="7"/>
        <v>28.7433037</v>
      </c>
      <c r="E13" s="6">
        <f t="shared" si="7"/>
        <v>23.69050909</v>
      </c>
      <c r="F13" s="6">
        <f t="shared" si="7"/>
        <v>21.7956</v>
      </c>
      <c r="G13" s="6">
        <f t="shared" si="7"/>
        <v>20.19242051</v>
      </c>
      <c r="H13" s="6">
        <f t="shared" si="7"/>
        <v>20.19212747</v>
      </c>
      <c r="I13" s="6">
        <f t="shared" si="7"/>
        <v>18.81817143</v>
      </c>
      <c r="J13" s="6">
        <f t="shared" si="7"/>
        <v>18.8180127</v>
      </c>
      <c r="K13" s="6">
        <f t="shared" si="7"/>
        <v>17.62733333</v>
      </c>
      <c r="L13" s="6">
        <f t="shared" si="7"/>
        <v>17.62723636</v>
      </c>
      <c r="M13" s="6">
        <f t="shared" si="7"/>
        <v>17.62715556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13</v>
      </c>
      <c r="B14" s="6">
        <f t="shared" ref="B14:M14" si="8">B15+B16</f>
        <v>10.5985</v>
      </c>
      <c r="C14" s="6">
        <f t="shared" si="8"/>
        <v>10.5985</v>
      </c>
      <c r="D14" s="6">
        <f t="shared" si="8"/>
        <v>10.5985</v>
      </c>
      <c r="E14" s="6">
        <f t="shared" si="8"/>
        <v>10.5985</v>
      </c>
      <c r="F14" s="6">
        <f t="shared" si="8"/>
        <v>10.5985</v>
      </c>
      <c r="G14" s="6">
        <f t="shared" si="8"/>
        <v>10.5985</v>
      </c>
      <c r="H14" s="6">
        <f t="shared" si="8"/>
        <v>10.5985</v>
      </c>
      <c r="I14" s="6">
        <f t="shared" si="8"/>
        <v>10.5985</v>
      </c>
      <c r="J14" s="6">
        <f t="shared" si="8"/>
        <v>10.5985</v>
      </c>
      <c r="K14" s="6">
        <f t="shared" si="8"/>
        <v>10.5985</v>
      </c>
      <c r="L14" s="6">
        <f t="shared" si="8"/>
        <v>10.5985</v>
      </c>
      <c r="M14" s="6">
        <f t="shared" si="8"/>
        <v>10.5985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14</v>
      </c>
      <c r="B15" s="5">
        <v>4.0</v>
      </c>
      <c r="C15" s="5">
        <v>4.0</v>
      </c>
      <c r="D15" s="5">
        <v>4.0</v>
      </c>
      <c r="E15" s="5">
        <v>4.0</v>
      </c>
      <c r="F15" s="5">
        <v>4.0</v>
      </c>
      <c r="G15" s="5">
        <v>4.0</v>
      </c>
      <c r="H15" s="5">
        <v>4.0</v>
      </c>
      <c r="I15" s="5">
        <v>4.0</v>
      </c>
      <c r="J15" s="5">
        <v>4.0</v>
      </c>
      <c r="K15" s="5">
        <v>4.0</v>
      </c>
      <c r="L15" s="5">
        <v>4.0</v>
      </c>
      <c r="M15" s="5">
        <v>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15</v>
      </c>
      <c r="B16" s="6">
        <f t="shared" ref="B16:M16" si="9">B17+B18</f>
        <v>6.5985</v>
      </c>
      <c r="C16" s="6">
        <f t="shared" si="9"/>
        <v>6.5985</v>
      </c>
      <c r="D16" s="6">
        <f t="shared" si="9"/>
        <v>6.5985</v>
      </c>
      <c r="E16" s="6">
        <f t="shared" si="9"/>
        <v>6.5985</v>
      </c>
      <c r="F16" s="6">
        <f t="shared" si="9"/>
        <v>6.5985</v>
      </c>
      <c r="G16" s="6">
        <f t="shared" si="9"/>
        <v>6.5985</v>
      </c>
      <c r="H16" s="6">
        <f t="shared" si="9"/>
        <v>6.5985</v>
      </c>
      <c r="I16" s="6">
        <f t="shared" si="9"/>
        <v>6.5985</v>
      </c>
      <c r="J16" s="6">
        <f t="shared" si="9"/>
        <v>6.5985</v>
      </c>
      <c r="K16" s="6">
        <f t="shared" si="9"/>
        <v>6.5985</v>
      </c>
      <c r="L16" s="6">
        <f t="shared" si="9"/>
        <v>6.5985</v>
      </c>
      <c r="M16" s="6">
        <f t="shared" si="9"/>
        <v>6.5985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16</v>
      </c>
      <c r="B17" s="6">
        <v>3.0</v>
      </c>
      <c r="C17" s="6">
        <v>3.0</v>
      </c>
      <c r="D17" s="6">
        <v>3.0</v>
      </c>
      <c r="E17" s="6">
        <v>3.0</v>
      </c>
      <c r="F17" s="6">
        <v>3.0</v>
      </c>
      <c r="G17" s="6">
        <v>3.0</v>
      </c>
      <c r="H17" s="6">
        <v>3.0</v>
      </c>
      <c r="I17" s="6">
        <v>3.0</v>
      </c>
      <c r="J17" s="6">
        <v>3.0</v>
      </c>
      <c r="K17" s="6">
        <v>3.0</v>
      </c>
      <c r="L17" s="6">
        <v>3.0</v>
      </c>
      <c r="M17" s="6">
        <v>3.0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17</v>
      </c>
      <c r="B18" s="6">
        <f t="shared" ref="B18:M18" si="10">B19*0.15</f>
        <v>3.5985</v>
      </c>
      <c r="C18" s="6">
        <f t="shared" si="10"/>
        <v>3.5985</v>
      </c>
      <c r="D18" s="6">
        <f t="shared" si="10"/>
        <v>3.5985</v>
      </c>
      <c r="E18" s="6">
        <f t="shared" si="10"/>
        <v>3.5985</v>
      </c>
      <c r="F18" s="6">
        <f t="shared" si="10"/>
        <v>3.5985</v>
      </c>
      <c r="G18" s="6">
        <f t="shared" si="10"/>
        <v>3.5985</v>
      </c>
      <c r="H18" s="6">
        <f t="shared" si="10"/>
        <v>3.5985</v>
      </c>
      <c r="I18" s="6">
        <f t="shared" si="10"/>
        <v>3.5985</v>
      </c>
      <c r="J18" s="6">
        <f t="shared" si="10"/>
        <v>3.5985</v>
      </c>
      <c r="K18" s="6">
        <f t="shared" si="10"/>
        <v>3.5985</v>
      </c>
      <c r="L18" s="6">
        <f t="shared" si="10"/>
        <v>3.5985</v>
      </c>
      <c r="M18" s="6">
        <f t="shared" si="10"/>
        <v>3.5985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18</v>
      </c>
      <c r="B19" s="8">
        <v>23.99</v>
      </c>
      <c r="C19" s="8">
        <v>23.99</v>
      </c>
      <c r="D19" s="8">
        <v>23.99</v>
      </c>
      <c r="E19" s="8">
        <v>23.99</v>
      </c>
      <c r="F19" s="8">
        <v>23.99</v>
      </c>
      <c r="G19" s="8">
        <v>23.99</v>
      </c>
      <c r="H19" s="8">
        <v>23.99</v>
      </c>
      <c r="I19" s="8">
        <v>23.99</v>
      </c>
      <c r="J19" s="8">
        <v>23.99</v>
      </c>
      <c r="K19" s="8">
        <v>23.99</v>
      </c>
      <c r="L19" s="8">
        <v>23.99</v>
      </c>
      <c r="M19" s="8">
        <v>23.99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19</v>
      </c>
      <c r="B20" s="6">
        <f t="shared" ref="B20:M20" si="11">B19-B14-B13</f>
        <v>-50.93343333</v>
      </c>
      <c r="C20" s="6">
        <f t="shared" si="11"/>
        <v>-23.29381429</v>
      </c>
      <c r="D20" s="6">
        <f t="shared" si="11"/>
        <v>-15.3518037</v>
      </c>
      <c r="E20" s="6">
        <f t="shared" si="11"/>
        <v>-10.29900909</v>
      </c>
      <c r="F20" s="6">
        <f t="shared" si="11"/>
        <v>-8.4041</v>
      </c>
      <c r="G20" s="6">
        <f t="shared" si="11"/>
        <v>-6.800920513</v>
      </c>
      <c r="H20" s="6">
        <f t="shared" si="11"/>
        <v>-6.800627473</v>
      </c>
      <c r="I20" s="6">
        <f t="shared" si="11"/>
        <v>-5.426671429</v>
      </c>
      <c r="J20" s="6">
        <f t="shared" si="11"/>
        <v>-5.426512698</v>
      </c>
      <c r="K20" s="6">
        <f t="shared" si="11"/>
        <v>-4.235833333</v>
      </c>
      <c r="L20" s="6">
        <f t="shared" si="11"/>
        <v>-4.235736364</v>
      </c>
      <c r="M20" s="6">
        <f t="shared" si="11"/>
        <v>-4.235655556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20</v>
      </c>
      <c r="B21" s="6">
        <f t="shared" ref="B21:M21" si="12">B19-B14</f>
        <v>13.3915</v>
      </c>
      <c r="C21" s="6">
        <f t="shared" si="12"/>
        <v>13.3915</v>
      </c>
      <c r="D21" s="6">
        <f t="shared" si="12"/>
        <v>13.3915</v>
      </c>
      <c r="E21" s="6">
        <f t="shared" si="12"/>
        <v>13.3915</v>
      </c>
      <c r="F21" s="6">
        <f t="shared" si="12"/>
        <v>13.3915</v>
      </c>
      <c r="G21" s="6">
        <f t="shared" si="12"/>
        <v>13.3915</v>
      </c>
      <c r="H21" s="6">
        <f t="shared" si="12"/>
        <v>13.3915</v>
      </c>
      <c r="I21" s="6">
        <f t="shared" si="12"/>
        <v>13.3915</v>
      </c>
      <c r="J21" s="6">
        <f t="shared" si="12"/>
        <v>13.3915</v>
      </c>
      <c r="K21" s="6">
        <f t="shared" si="12"/>
        <v>13.3915</v>
      </c>
      <c r="L21" s="6">
        <f t="shared" si="12"/>
        <v>13.3915</v>
      </c>
      <c r="M21" s="6">
        <f t="shared" si="12"/>
        <v>13.3915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21</v>
      </c>
      <c r="B22" s="6">
        <f t="shared" ref="B22:M22" si="13">B23/B12</f>
        <v>0.3729502505</v>
      </c>
      <c r="C22" s="6">
        <f t="shared" si="13"/>
        <v>0.653940152</v>
      </c>
      <c r="D22" s="6">
        <f t="shared" si="13"/>
        <v>0.83462918</v>
      </c>
      <c r="E22" s="6">
        <f t="shared" si="13"/>
        <v>1.01264181</v>
      </c>
      <c r="F22" s="6">
        <f t="shared" si="13"/>
        <v>1.100680871</v>
      </c>
      <c r="G22" s="6">
        <f t="shared" si="13"/>
        <v>1.188069552</v>
      </c>
      <c r="H22" s="6">
        <f t="shared" si="13"/>
        <v>1.188086794</v>
      </c>
      <c r="I22" s="6">
        <f t="shared" si="13"/>
        <v>1.274831622</v>
      </c>
      <c r="J22" s="6">
        <f t="shared" si="13"/>
        <v>1.274842375</v>
      </c>
      <c r="K22" s="6">
        <f t="shared" si="13"/>
        <v>1.360954578</v>
      </c>
      <c r="L22" s="6">
        <f t="shared" si="13"/>
        <v>1.360962065</v>
      </c>
      <c r="M22" s="6">
        <f t="shared" si="13"/>
        <v>1.360968304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22</v>
      </c>
      <c r="B23" s="6">
        <f t="shared" ref="B23:M23" si="14">B8*B19</f>
        <v>359.85</v>
      </c>
      <c r="C23" s="6">
        <f t="shared" si="14"/>
        <v>1007.58</v>
      </c>
      <c r="D23" s="6">
        <f t="shared" si="14"/>
        <v>1943.19</v>
      </c>
      <c r="E23" s="6">
        <f t="shared" si="14"/>
        <v>3166.68</v>
      </c>
      <c r="F23" s="6">
        <f t="shared" si="14"/>
        <v>4318.2</v>
      </c>
      <c r="G23" s="6">
        <f t="shared" si="14"/>
        <v>5613.66</v>
      </c>
      <c r="H23" s="6">
        <f t="shared" si="14"/>
        <v>6549.27</v>
      </c>
      <c r="I23" s="6">
        <f t="shared" si="14"/>
        <v>8060.64</v>
      </c>
      <c r="J23" s="6">
        <f t="shared" si="14"/>
        <v>9068.22</v>
      </c>
      <c r="K23" s="6">
        <f t="shared" si="14"/>
        <v>10795.5</v>
      </c>
      <c r="L23" s="6">
        <f t="shared" si="14"/>
        <v>11875.05</v>
      </c>
      <c r="M23" s="6">
        <f t="shared" si="14"/>
        <v>12954.6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23</v>
      </c>
      <c r="B24" s="6">
        <f t="shared" ref="B24:M24" si="15">B23-(B8*B14)</f>
        <v>200.8725</v>
      </c>
      <c r="C24" s="6">
        <f t="shared" si="15"/>
        <v>562.443</v>
      </c>
      <c r="D24" s="6">
        <f t="shared" si="15"/>
        <v>1084.7115</v>
      </c>
      <c r="E24" s="6">
        <f t="shared" si="15"/>
        <v>1767.678</v>
      </c>
      <c r="F24" s="6">
        <f t="shared" si="15"/>
        <v>2410.47</v>
      </c>
      <c r="G24" s="6">
        <f t="shared" si="15"/>
        <v>3133.611</v>
      </c>
      <c r="H24" s="6">
        <f t="shared" si="15"/>
        <v>3655.8795</v>
      </c>
      <c r="I24" s="6">
        <f t="shared" si="15"/>
        <v>4499.544</v>
      </c>
      <c r="J24" s="6">
        <f t="shared" si="15"/>
        <v>5061.987</v>
      </c>
      <c r="K24" s="6">
        <f t="shared" si="15"/>
        <v>6026.175</v>
      </c>
      <c r="L24" s="6">
        <f t="shared" si="15"/>
        <v>6628.7925</v>
      </c>
      <c r="M24" s="6">
        <f t="shared" si="15"/>
        <v>7231.41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24</v>
      </c>
      <c r="B25" s="6">
        <f t="shared" ref="B25:M25" si="16">B24-B12</f>
        <v>-764.0015</v>
      </c>
      <c r="C25" s="6">
        <f t="shared" si="16"/>
        <v>-978.3402</v>
      </c>
      <c r="D25" s="6">
        <f t="shared" si="16"/>
        <v>-1243.4961</v>
      </c>
      <c r="E25" s="6">
        <f t="shared" si="16"/>
        <v>-1359.4692</v>
      </c>
      <c r="F25" s="6">
        <f t="shared" si="16"/>
        <v>-1512.738</v>
      </c>
      <c r="G25" s="6">
        <f t="shared" si="16"/>
        <v>-1591.4154</v>
      </c>
      <c r="H25" s="6">
        <f t="shared" si="16"/>
        <v>-1856.5713</v>
      </c>
      <c r="I25" s="6">
        <f t="shared" si="16"/>
        <v>-1823.3616</v>
      </c>
      <c r="J25" s="6">
        <f t="shared" si="16"/>
        <v>-2051.2218</v>
      </c>
      <c r="K25" s="6">
        <f t="shared" si="16"/>
        <v>-1906.125</v>
      </c>
      <c r="L25" s="6">
        <f t="shared" si="16"/>
        <v>-2096.6895</v>
      </c>
      <c r="M25" s="6">
        <f t="shared" si="16"/>
        <v>-2287.254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25</v>
      </c>
      <c r="B26" s="14"/>
      <c r="C26" s="14"/>
      <c r="D26" s="15">
        <v>0.15</v>
      </c>
      <c r="E26" s="15">
        <v>0.15</v>
      </c>
      <c r="F26" s="15">
        <v>0.15</v>
      </c>
      <c r="G26" s="15">
        <v>0.15</v>
      </c>
      <c r="H26" s="15">
        <v>0.15</v>
      </c>
      <c r="I26" s="15">
        <v>0.15</v>
      </c>
      <c r="J26" s="15">
        <v>0.15</v>
      </c>
      <c r="K26" s="15">
        <v>0.15</v>
      </c>
      <c r="L26" s="15">
        <v>0.15</v>
      </c>
      <c r="M26" s="15">
        <v>0.15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26</v>
      </c>
      <c r="B27" s="14"/>
      <c r="C27" s="14"/>
      <c r="D27" s="6">
        <f t="shared" ref="D27:M27" si="17">(B9*D21)+(B9*D26*D21)</f>
        <v>231.003375</v>
      </c>
      <c r="E27" s="6">
        <f t="shared" si="17"/>
        <v>646.80945</v>
      </c>
      <c r="F27" s="6">
        <f t="shared" si="17"/>
        <v>1247.418225</v>
      </c>
      <c r="G27" s="6">
        <f t="shared" si="17"/>
        <v>2032.8297</v>
      </c>
      <c r="H27" s="6">
        <f t="shared" si="17"/>
        <v>2772.0405</v>
      </c>
      <c r="I27" s="6">
        <f t="shared" si="17"/>
        <v>3603.65265</v>
      </c>
      <c r="J27" s="6">
        <f t="shared" si="17"/>
        <v>4204.261425</v>
      </c>
      <c r="K27" s="6">
        <f t="shared" si="17"/>
        <v>5174.4756</v>
      </c>
      <c r="L27" s="6">
        <f t="shared" si="17"/>
        <v>5821.28505</v>
      </c>
      <c r="M27" s="6">
        <f t="shared" si="17"/>
        <v>6930.10125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 t="s">
        <v>27</v>
      </c>
      <c r="B28" s="14"/>
      <c r="C28" s="14"/>
      <c r="D28" s="14"/>
      <c r="E28" s="14"/>
      <c r="F28" s="15">
        <v>0.08</v>
      </c>
      <c r="G28" s="15">
        <v>0.08</v>
      </c>
      <c r="H28" s="15">
        <v>0.08</v>
      </c>
      <c r="I28" s="15">
        <v>0.08</v>
      </c>
      <c r="J28" s="15">
        <v>0.08</v>
      </c>
      <c r="K28" s="15">
        <v>0.08</v>
      </c>
      <c r="L28" s="15">
        <v>0.08</v>
      </c>
      <c r="M28" s="15">
        <v>0.08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28</v>
      </c>
      <c r="B29" s="14"/>
      <c r="C29" s="14"/>
      <c r="D29" s="14"/>
      <c r="E29" s="14"/>
      <c r="F29" s="6">
        <f t="shared" ref="F29:M29" si="18">(B9*F14)+(B9*F26*F28*F21)</f>
        <v>161.38797</v>
      </c>
      <c r="G29" s="6">
        <f t="shared" si="18"/>
        <v>451.886316</v>
      </c>
      <c r="H29" s="6">
        <f t="shared" si="18"/>
        <v>871.495038</v>
      </c>
      <c r="I29" s="6">
        <f t="shared" si="18"/>
        <v>1420.214136</v>
      </c>
      <c r="J29" s="6">
        <f t="shared" si="18"/>
        <v>1936.65564</v>
      </c>
      <c r="K29" s="6">
        <f t="shared" si="18"/>
        <v>2517.652332</v>
      </c>
      <c r="L29" s="6">
        <f t="shared" si="18"/>
        <v>2937.261054</v>
      </c>
      <c r="M29" s="6">
        <f t="shared" si="18"/>
        <v>3615.090528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29</v>
      </c>
      <c r="B30" s="16">
        <f t="shared" ref="B30:M30" si="19">(B29+B27)-B12</f>
        <v>-964.874</v>
      </c>
      <c r="C30" s="16">
        <f t="shared" si="19"/>
        <v>-1540.7832</v>
      </c>
      <c r="D30" s="16">
        <f t="shared" si="19"/>
        <v>-2097.204225</v>
      </c>
      <c r="E30" s="16">
        <f t="shared" si="19"/>
        <v>-2480.33775</v>
      </c>
      <c r="F30" s="16">
        <f t="shared" si="19"/>
        <v>-2514.401805</v>
      </c>
      <c r="G30" s="16">
        <f t="shared" si="19"/>
        <v>-2240.310384</v>
      </c>
      <c r="H30" s="16">
        <f t="shared" si="19"/>
        <v>-1868.915262</v>
      </c>
      <c r="I30" s="16">
        <f t="shared" si="19"/>
        <v>-1299.038814</v>
      </c>
      <c r="J30" s="16">
        <f t="shared" si="19"/>
        <v>-972.291735</v>
      </c>
      <c r="K30" s="16">
        <f t="shared" si="19"/>
        <v>-240.172068</v>
      </c>
      <c r="L30" s="16">
        <f t="shared" si="19"/>
        <v>33.064104</v>
      </c>
      <c r="M30" s="16">
        <f t="shared" si="19"/>
        <v>1026.527778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 t="s">
        <v>30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31</v>
      </c>
      <c r="B32" s="5">
        <v>5.0</v>
      </c>
      <c r="C32" s="5">
        <v>10.0</v>
      </c>
      <c r="D32" s="5">
        <v>15.0</v>
      </c>
      <c r="E32" s="5">
        <v>20.0</v>
      </c>
      <c r="F32" s="5">
        <v>25.0</v>
      </c>
      <c r="G32" s="5">
        <v>30.0</v>
      </c>
      <c r="H32" s="5">
        <v>35.0</v>
      </c>
      <c r="I32" s="5">
        <v>40.0</v>
      </c>
      <c r="J32" s="5">
        <v>45.0</v>
      </c>
      <c r="K32" s="5">
        <v>50.0</v>
      </c>
      <c r="L32" s="5">
        <v>55.0</v>
      </c>
      <c r="M32" s="5">
        <v>60.0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32</v>
      </c>
      <c r="B33" s="6">
        <f t="shared" ref="B33:M33" si="20">B8*B32/100</f>
        <v>0.75</v>
      </c>
      <c r="C33" s="6">
        <f t="shared" si="20"/>
        <v>4.2</v>
      </c>
      <c r="D33" s="6">
        <f t="shared" si="20"/>
        <v>12.15</v>
      </c>
      <c r="E33" s="6">
        <f t="shared" si="20"/>
        <v>26.4</v>
      </c>
      <c r="F33" s="6">
        <f t="shared" si="20"/>
        <v>45</v>
      </c>
      <c r="G33" s="6">
        <f t="shared" si="20"/>
        <v>70.2</v>
      </c>
      <c r="H33" s="6">
        <f t="shared" si="20"/>
        <v>95.55</v>
      </c>
      <c r="I33" s="6">
        <f t="shared" si="20"/>
        <v>134.4</v>
      </c>
      <c r="J33" s="6">
        <f t="shared" si="20"/>
        <v>170.1</v>
      </c>
      <c r="K33" s="6">
        <f t="shared" si="20"/>
        <v>225</v>
      </c>
      <c r="L33" s="6">
        <f t="shared" si="20"/>
        <v>272.25</v>
      </c>
      <c r="M33" s="6">
        <f t="shared" si="20"/>
        <v>324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33</v>
      </c>
      <c r="B34" s="6">
        <f t="shared" ref="B34:M34" si="21">B33</f>
        <v>0.75</v>
      </c>
      <c r="C34" s="6">
        <f t="shared" si="21"/>
        <v>4.2</v>
      </c>
      <c r="D34" s="6">
        <f t="shared" si="21"/>
        <v>12.15</v>
      </c>
      <c r="E34" s="6">
        <f t="shared" si="21"/>
        <v>26.4</v>
      </c>
      <c r="F34" s="6">
        <f t="shared" si="21"/>
        <v>45</v>
      </c>
      <c r="G34" s="6">
        <f t="shared" si="21"/>
        <v>70.2</v>
      </c>
      <c r="H34" s="6">
        <f t="shared" si="21"/>
        <v>95.55</v>
      </c>
      <c r="I34" s="6">
        <f t="shared" si="21"/>
        <v>134.4</v>
      </c>
      <c r="J34" s="6">
        <f t="shared" si="21"/>
        <v>170.1</v>
      </c>
      <c r="K34" s="6">
        <f t="shared" si="21"/>
        <v>225</v>
      </c>
      <c r="L34" s="6">
        <f t="shared" si="21"/>
        <v>272.25</v>
      </c>
      <c r="M34" s="6">
        <f t="shared" si="21"/>
        <v>324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34</v>
      </c>
      <c r="B35" s="6">
        <f t="shared" ref="B35:M35" si="22">B36+B37</f>
        <v>10.5985</v>
      </c>
      <c r="C35" s="6">
        <f t="shared" si="22"/>
        <v>10.5985</v>
      </c>
      <c r="D35" s="6">
        <f t="shared" si="22"/>
        <v>10.5985</v>
      </c>
      <c r="E35" s="6">
        <f t="shared" si="22"/>
        <v>10.5985</v>
      </c>
      <c r="F35" s="6">
        <f t="shared" si="22"/>
        <v>10.5985</v>
      </c>
      <c r="G35" s="6">
        <f t="shared" si="22"/>
        <v>10.5985</v>
      </c>
      <c r="H35" s="6">
        <f t="shared" si="22"/>
        <v>10.5985</v>
      </c>
      <c r="I35" s="6">
        <f t="shared" si="22"/>
        <v>10.5985</v>
      </c>
      <c r="J35" s="6">
        <f t="shared" si="22"/>
        <v>10.5985</v>
      </c>
      <c r="K35" s="6">
        <f t="shared" si="22"/>
        <v>10.5985</v>
      </c>
      <c r="L35" s="6">
        <f t="shared" si="22"/>
        <v>10.5985</v>
      </c>
      <c r="M35" s="6">
        <f t="shared" si="22"/>
        <v>10.5985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14</v>
      </c>
      <c r="B36" s="5">
        <f t="shared" ref="B36:M36" si="23">B15</f>
        <v>4</v>
      </c>
      <c r="C36" s="5">
        <f t="shared" si="23"/>
        <v>4</v>
      </c>
      <c r="D36" s="5">
        <f t="shared" si="23"/>
        <v>4</v>
      </c>
      <c r="E36" s="5">
        <f t="shared" si="23"/>
        <v>4</v>
      </c>
      <c r="F36" s="5">
        <f t="shared" si="23"/>
        <v>4</v>
      </c>
      <c r="G36" s="5">
        <f t="shared" si="23"/>
        <v>4</v>
      </c>
      <c r="H36" s="5">
        <f t="shared" si="23"/>
        <v>4</v>
      </c>
      <c r="I36" s="5">
        <f t="shared" si="23"/>
        <v>4</v>
      </c>
      <c r="J36" s="5">
        <f t="shared" si="23"/>
        <v>4</v>
      </c>
      <c r="K36" s="5">
        <f t="shared" si="23"/>
        <v>4</v>
      </c>
      <c r="L36" s="5">
        <f t="shared" si="23"/>
        <v>4</v>
      </c>
      <c r="M36" s="5">
        <f t="shared" si="23"/>
        <v>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15</v>
      </c>
      <c r="B37" s="6">
        <f t="shared" ref="B37:M37" si="24">B16</f>
        <v>6.5985</v>
      </c>
      <c r="C37" s="6">
        <f t="shared" si="24"/>
        <v>6.5985</v>
      </c>
      <c r="D37" s="6">
        <f t="shared" si="24"/>
        <v>6.5985</v>
      </c>
      <c r="E37" s="6">
        <f t="shared" si="24"/>
        <v>6.5985</v>
      </c>
      <c r="F37" s="6">
        <f t="shared" si="24"/>
        <v>6.5985</v>
      </c>
      <c r="G37" s="6">
        <f t="shared" si="24"/>
        <v>6.5985</v>
      </c>
      <c r="H37" s="6">
        <f t="shared" si="24"/>
        <v>6.5985</v>
      </c>
      <c r="I37" s="6">
        <f t="shared" si="24"/>
        <v>6.5985</v>
      </c>
      <c r="J37" s="6">
        <f t="shared" si="24"/>
        <v>6.5985</v>
      </c>
      <c r="K37" s="6">
        <f t="shared" si="24"/>
        <v>6.5985</v>
      </c>
      <c r="L37" s="6">
        <f t="shared" si="24"/>
        <v>6.5985</v>
      </c>
      <c r="M37" s="6">
        <f t="shared" si="24"/>
        <v>6.5985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16</v>
      </c>
      <c r="B38" s="6">
        <f t="shared" ref="B38:M38" si="25">B17</f>
        <v>3</v>
      </c>
      <c r="C38" s="6">
        <f t="shared" si="25"/>
        <v>3</v>
      </c>
      <c r="D38" s="6">
        <f t="shared" si="25"/>
        <v>3</v>
      </c>
      <c r="E38" s="6">
        <f t="shared" si="25"/>
        <v>3</v>
      </c>
      <c r="F38" s="6">
        <f t="shared" si="25"/>
        <v>3</v>
      </c>
      <c r="G38" s="6">
        <f t="shared" si="25"/>
        <v>3</v>
      </c>
      <c r="H38" s="6">
        <f t="shared" si="25"/>
        <v>3</v>
      </c>
      <c r="I38" s="6">
        <f t="shared" si="25"/>
        <v>3</v>
      </c>
      <c r="J38" s="6">
        <f t="shared" si="25"/>
        <v>3</v>
      </c>
      <c r="K38" s="6">
        <f t="shared" si="25"/>
        <v>3</v>
      </c>
      <c r="L38" s="6">
        <f t="shared" si="25"/>
        <v>3</v>
      </c>
      <c r="M38" s="6">
        <f t="shared" si="25"/>
        <v>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17</v>
      </c>
      <c r="B39" s="6">
        <f t="shared" ref="B39:M39" si="26">B18</f>
        <v>3.5985</v>
      </c>
      <c r="C39" s="6">
        <f t="shared" si="26"/>
        <v>3.5985</v>
      </c>
      <c r="D39" s="6">
        <f t="shared" si="26"/>
        <v>3.5985</v>
      </c>
      <c r="E39" s="6">
        <f t="shared" si="26"/>
        <v>3.5985</v>
      </c>
      <c r="F39" s="6">
        <f t="shared" si="26"/>
        <v>3.5985</v>
      </c>
      <c r="G39" s="6">
        <f t="shared" si="26"/>
        <v>3.5985</v>
      </c>
      <c r="H39" s="6">
        <f t="shared" si="26"/>
        <v>3.5985</v>
      </c>
      <c r="I39" s="6">
        <f t="shared" si="26"/>
        <v>3.5985</v>
      </c>
      <c r="J39" s="6">
        <f t="shared" si="26"/>
        <v>3.5985</v>
      </c>
      <c r="K39" s="6">
        <f t="shared" si="26"/>
        <v>3.5985</v>
      </c>
      <c r="L39" s="6">
        <f t="shared" si="26"/>
        <v>3.5985</v>
      </c>
      <c r="M39" s="6">
        <f t="shared" si="26"/>
        <v>3.5985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18</v>
      </c>
      <c r="B40" s="5">
        <f t="shared" ref="B40:M40" si="27">B19</f>
        <v>23.99</v>
      </c>
      <c r="C40" s="5">
        <f t="shared" si="27"/>
        <v>23.99</v>
      </c>
      <c r="D40" s="5">
        <f t="shared" si="27"/>
        <v>23.99</v>
      </c>
      <c r="E40" s="5">
        <f t="shared" si="27"/>
        <v>23.99</v>
      </c>
      <c r="F40" s="5">
        <f t="shared" si="27"/>
        <v>23.99</v>
      </c>
      <c r="G40" s="5">
        <f t="shared" si="27"/>
        <v>23.99</v>
      </c>
      <c r="H40" s="5">
        <f t="shared" si="27"/>
        <v>23.99</v>
      </c>
      <c r="I40" s="5">
        <f t="shared" si="27"/>
        <v>23.99</v>
      </c>
      <c r="J40" s="5">
        <f t="shared" si="27"/>
        <v>23.99</v>
      </c>
      <c r="K40" s="5">
        <f t="shared" si="27"/>
        <v>23.99</v>
      </c>
      <c r="L40" s="5">
        <f t="shared" si="27"/>
        <v>23.99</v>
      </c>
      <c r="M40" s="5">
        <f t="shared" si="27"/>
        <v>23.99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35</v>
      </c>
      <c r="B41" s="6">
        <f t="shared" ref="B41:M41" si="28">B40-B35</f>
        <v>13.3915</v>
      </c>
      <c r="C41" s="6">
        <f t="shared" si="28"/>
        <v>13.3915</v>
      </c>
      <c r="D41" s="6">
        <f t="shared" si="28"/>
        <v>13.3915</v>
      </c>
      <c r="E41" s="6">
        <f t="shared" si="28"/>
        <v>13.3915</v>
      </c>
      <c r="F41" s="6">
        <f t="shared" si="28"/>
        <v>13.3915</v>
      </c>
      <c r="G41" s="6">
        <f t="shared" si="28"/>
        <v>13.3915</v>
      </c>
      <c r="H41" s="6">
        <f t="shared" si="28"/>
        <v>13.3915</v>
      </c>
      <c r="I41" s="6">
        <f t="shared" si="28"/>
        <v>13.3915</v>
      </c>
      <c r="J41" s="6">
        <f t="shared" si="28"/>
        <v>13.3915</v>
      </c>
      <c r="K41" s="6">
        <f t="shared" si="28"/>
        <v>13.3915</v>
      </c>
      <c r="L41" s="6">
        <f t="shared" si="28"/>
        <v>13.3915</v>
      </c>
      <c r="M41" s="6">
        <f t="shared" si="28"/>
        <v>13.3915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22</v>
      </c>
      <c r="B42" s="6">
        <f t="shared" ref="B42:M42" si="29">B40*B33</f>
        <v>17.9925</v>
      </c>
      <c r="C42" s="6">
        <f t="shared" si="29"/>
        <v>100.758</v>
      </c>
      <c r="D42" s="6">
        <f t="shared" si="29"/>
        <v>291.4785</v>
      </c>
      <c r="E42" s="6">
        <f t="shared" si="29"/>
        <v>633.336</v>
      </c>
      <c r="F42" s="6">
        <f t="shared" si="29"/>
        <v>1079.55</v>
      </c>
      <c r="G42" s="6">
        <f t="shared" si="29"/>
        <v>1684.098</v>
      </c>
      <c r="H42" s="6">
        <f t="shared" si="29"/>
        <v>2292.2445</v>
      </c>
      <c r="I42" s="6">
        <f t="shared" si="29"/>
        <v>3224.256</v>
      </c>
      <c r="J42" s="6">
        <f t="shared" si="29"/>
        <v>4080.699</v>
      </c>
      <c r="K42" s="6">
        <f t="shared" si="29"/>
        <v>5397.75</v>
      </c>
      <c r="L42" s="6">
        <f t="shared" si="29"/>
        <v>6531.2775</v>
      </c>
      <c r="M42" s="6">
        <f t="shared" si="29"/>
        <v>7772.76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23</v>
      </c>
      <c r="B43" s="6">
        <f t="shared" ref="B43:M43" si="30">B33*(B40-B35)</f>
        <v>10.043625</v>
      </c>
      <c r="C43" s="6">
        <f t="shared" si="30"/>
        <v>56.2443</v>
      </c>
      <c r="D43" s="6">
        <f t="shared" si="30"/>
        <v>162.706725</v>
      </c>
      <c r="E43" s="6">
        <f t="shared" si="30"/>
        <v>353.5356</v>
      </c>
      <c r="F43" s="6">
        <f t="shared" si="30"/>
        <v>602.6175</v>
      </c>
      <c r="G43" s="6">
        <f t="shared" si="30"/>
        <v>940.0833</v>
      </c>
      <c r="H43" s="6">
        <f t="shared" si="30"/>
        <v>1279.557825</v>
      </c>
      <c r="I43" s="6">
        <f t="shared" si="30"/>
        <v>1799.8176</v>
      </c>
      <c r="J43" s="6">
        <f t="shared" si="30"/>
        <v>2277.89415</v>
      </c>
      <c r="K43" s="6">
        <f t="shared" si="30"/>
        <v>3013.0875</v>
      </c>
      <c r="L43" s="6">
        <f t="shared" si="30"/>
        <v>3645.835875</v>
      </c>
      <c r="M43" s="6">
        <f t="shared" si="30"/>
        <v>4338.846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36</v>
      </c>
      <c r="B44" s="6">
        <f t="shared" ref="B44:M44" si="31">B41*B33-3%</f>
        <v>10.013625</v>
      </c>
      <c r="C44" s="6">
        <f t="shared" si="31"/>
        <v>56.2143</v>
      </c>
      <c r="D44" s="6">
        <f t="shared" si="31"/>
        <v>162.676725</v>
      </c>
      <c r="E44" s="6">
        <f t="shared" si="31"/>
        <v>353.5056</v>
      </c>
      <c r="F44" s="6">
        <f t="shared" si="31"/>
        <v>602.5875</v>
      </c>
      <c r="G44" s="6">
        <f t="shared" si="31"/>
        <v>940.0533</v>
      </c>
      <c r="H44" s="6">
        <f t="shared" si="31"/>
        <v>1279.527825</v>
      </c>
      <c r="I44" s="6">
        <f t="shared" si="31"/>
        <v>1799.7876</v>
      </c>
      <c r="J44" s="6">
        <f t="shared" si="31"/>
        <v>2277.86415</v>
      </c>
      <c r="K44" s="6">
        <f t="shared" si="31"/>
        <v>3013.0575</v>
      </c>
      <c r="L44" s="6">
        <f t="shared" si="31"/>
        <v>3645.805875</v>
      </c>
      <c r="M44" s="6">
        <f t="shared" si="31"/>
        <v>4338.816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25</v>
      </c>
      <c r="B45" s="14"/>
      <c r="C45" s="14"/>
      <c r="D45" s="6">
        <v>0.3</v>
      </c>
      <c r="E45" s="6">
        <v>0.3</v>
      </c>
      <c r="F45" s="6">
        <v>0.3</v>
      </c>
      <c r="G45" s="6">
        <v>0.3</v>
      </c>
      <c r="H45" s="6">
        <v>0.3</v>
      </c>
      <c r="I45" s="6">
        <v>0.3</v>
      </c>
      <c r="J45" s="6">
        <v>0.3</v>
      </c>
      <c r="K45" s="6">
        <v>0.3</v>
      </c>
      <c r="L45" s="6">
        <v>0.3</v>
      </c>
      <c r="M45" s="6">
        <v>0.3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26</v>
      </c>
      <c r="B46" s="14"/>
      <c r="C46" s="14"/>
      <c r="D46" s="6">
        <f t="shared" ref="D46:M46" si="32">(D41*(1+D45))*B34</f>
        <v>13.0567125</v>
      </c>
      <c r="E46" s="6">
        <f t="shared" si="32"/>
        <v>73.11759</v>
      </c>
      <c r="F46" s="6">
        <f t="shared" si="32"/>
        <v>211.5187425</v>
      </c>
      <c r="G46" s="6">
        <f t="shared" si="32"/>
        <v>459.59628</v>
      </c>
      <c r="H46" s="6">
        <f t="shared" si="32"/>
        <v>783.40275</v>
      </c>
      <c r="I46" s="6">
        <f t="shared" si="32"/>
        <v>1222.10829</v>
      </c>
      <c r="J46" s="6">
        <f t="shared" si="32"/>
        <v>1663.425173</v>
      </c>
      <c r="K46" s="6">
        <f t="shared" si="32"/>
        <v>2339.76288</v>
      </c>
      <c r="L46" s="6">
        <f t="shared" si="32"/>
        <v>2961.262395</v>
      </c>
      <c r="M46" s="6">
        <f t="shared" si="32"/>
        <v>3917.01375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27</v>
      </c>
      <c r="B47" s="14"/>
      <c r="C47" s="14"/>
      <c r="D47" s="14"/>
      <c r="E47" s="14"/>
      <c r="F47" s="6">
        <v>0.2</v>
      </c>
      <c r="G47" s="6">
        <v>0.2</v>
      </c>
      <c r="H47" s="6">
        <v>0.2</v>
      </c>
      <c r="I47" s="6">
        <v>0.2</v>
      </c>
      <c r="J47" s="6">
        <v>0.2</v>
      </c>
      <c r="K47" s="6">
        <v>0.2</v>
      </c>
      <c r="L47" s="6">
        <v>0.2</v>
      </c>
      <c r="M47" s="6">
        <v>0.2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28</v>
      </c>
      <c r="B48" s="14"/>
      <c r="C48" s="14"/>
      <c r="D48" s="14"/>
      <c r="E48" s="14"/>
      <c r="F48" s="6">
        <f t="shared" ref="F48:M48" si="33">(F41*(1+F45+F47)*B34)</f>
        <v>15.0654375</v>
      </c>
      <c r="G48" s="6">
        <f t="shared" si="33"/>
        <v>84.36645</v>
      </c>
      <c r="H48" s="6">
        <f t="shared" si="33"/>
        <v>244.0600875</v>
      </c>
      <c r="I48" s="6">
        <f t="shared" si="33"/>
        <v>530.3034</v>
      </c>
      <c r="J48" s="6">
        <f t="shared" si="33"/>
        <v>903.92625</v>
      </c>
      <c r="K48" s="6">
        <f t="shared" si="33"/>
        <v>1410.12495</v>
      </c>
      <c r="L48" s="6">
        <f t="shared" si="33"/>
        <v>1919.336738</v>
      </c>
      <c r="M48" s="6">
        <f t="shared" si="33"/>
        <v>2699.7264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29</v>
      </c>
      <c r="B49" s="16">
        <f t="shared" ref="B49:M49" si="34">(B48+B46)</f>
        <v>0</v>
      </c>
      <c r="C49" s="16">
        <f t="shared" si="34"/>
        <v>0</v>
      </c>
      <c r="D49" s="16">
        <f t="shared" si="34"/>
        <v>13.0567125</v>
      </c>
      <c r="E49" s="16">
        <f t="shared" si="34"/>
        <v>73.11759</v>
      </c>
      <c r="F49" s="16">
        <f t="shared" si="34"/>
        <v>226.58418</v>
      </c>
      <c r="G49" s="16">
        <f t="shared" si="34"/>
        <v>543.96273</v>
      </c>
      <c r="H49" s="16">
        <f t="shared" si="34"/>
        <v>1027.462838</v>
      </c>
      <c r="I49" s="16">
        <f t="shared" si="34"/>
        <v>1752.41169</v>
      </c>
      <c r="J49" s="16">
        <f t="shared" si="34"/>
        <v>2567.351423</v>
      </c>
      <c r="K49" s="16">
        <f t="shared" si="34"/>
        <v>3749.88783</v>
      </c>
      <c r="L49" s="16">
        <f t="shared" si="34"/>
        <v>4880.599133</v>
      </c>
      <c r="M49" s="16">
        <f t="shared" si="34"/>
        <v>6616.74015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 t="s">
        <v>37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38</v>
      </c>
      <c r="B51" s="6">
        <f t="shared" ref="B51:M51" si="35">B8+B33</f>
        <v>15.75</v>
      </c>
      <c r="C51" s="6">
        <f t="shared" si="35"/>
        <v>46.2</v>
      </c>
      <c r="D51" s="6">
        <f t="shared" si="35"/>
        <v>93.15</v>
      </c>
      <c r="E51" s="6">
        <f t="shared" si="35"/>
        <v>158.4</v>
      </c>
      <c r="F51" s="6">
        <f t="shared" si="35"/>
        <v>225</v>
      </c>
      <c r="G51" s="6">
        <f t="shared" si="35"/>
        <v>304.2</v>
      </c>
      <c r="H51" s="6">
        <f t="shared" si="35"/>
        <v>368.55</v>
      </c>
      <c r="I51" s="6">
        <f t="shared" si="35"/>
        <v>470.4</v>
      </c>
      <c r="J51" s="6">
        <f t="shared" si="35"/>
        <v>548.1</v>
      </c>
      <c r="K51" s="6">
        <f t="shared" si="35"/>
        <v>675</v>
      </c>
      <c r="L51" s="6">
        <f t="shared" si="35"/>
        <v>767.25</v>
      </c>
      <c r="M51" s="6">
        <f t="shared" si="35"/>
        <v>864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 t="s">
        <v>23</v>
      </c>
      <c r="B52" s="20">
        <f t="shared" ref="B52:M52" si="36">B24+B43</f>
        <v>210.916125</v>
      </c>
      <c r="C52" s="20">
        <f t="shared" si="36"/>
        <v>618.6873</v>
      </c>
      <c r="D52" s="20">
        <f t="shared" si="36"/>
        <v>1247.418225</v>
      </c>
      <c r="E52" s="20">
        <f t="shared" si="36"/>
        <v>2121.2136</v>
      </c>
      <c r="F52" s="20">
        <f t="shared" si="36"/>
        <v>3013.0875</v>
      </c>
      <c r="G52" s="20">
        <f t="shared" si="36"/>
        <v>4073.6943</v>
      </c>
      <c r="H52" s="20">
        <f t="shared" si="36"/>
        <v>4935.437325</v>
      </c>
      <c r="I52" s="20">
        <f t="shared" si="36"/>
        <v>6299.3616</v>
      </c>
      <c r="J52" s="20">
        <f t="shared" si="36"/>
        <v>7339.88115</v>
      </c>
      <c r="K52" s="20">
        <f t="shared" si="36"/>
        <v>9039.2625</v>
      </c>
      <c r="L52" s="20">
        <f t="shared" si="36"/>
        <v>10274.62838</v>
      </c>
      <c r="M52" s="20">
        <f t="shared" si="36"/>
        <v>11570.256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1" t="s">
        <v>39</v>
      </c>
      <c r="B53" s="6">
        <f t="shared" ref="B53:M53" si="37">B25+B44</f>
        <v>-753.987875</v>
      </c>
      <c r="C53" s="6">
        <f t="shared" si="37"/>
        <v>-922.1259</v>
      </c>
      <c r="D53" s="6">
        <f t="shared" si="37"/>
        <v>-1080.819375</v>
      </c>
      <c r="E53" s="6">
        <f t="shared" si="37"/>
        <v>-1005.9636</v>
      </c>
      <c r="F53" s="6">
        <f t="shared" si="37"/>
        <v>-910.1505</v>
      </c>
      <c r="G53" s="6">
        <f t="shared" si="37"/>
        <v>-651.3621</v>
      </c>
      <c r="H53" s="6">
        <f t="shared" si="37"/>
        <v>-577.043475</v>
      </c>
      <c r="I53" s="6">
        <f t="shared" si="37"/>
        <v>-23.574</v>
      </c>
      <c r="J53" s="6">
        <f t="shared" si="37"/>
        <v>226.64235</v>
      </c>
      <c r="K53" s="6">
        <f t="shared" si="37"/>
        <v>1106.9325</v>
      </c>
      <c r="L53" s="6">
        <f t="shared" si="37"/>
        <v>1549.116375</v>
      </c>
      <c r="M53" s="6">
        <f t="shared" si="37"/>
        <v>2051.562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22</v>
      </c>
      <c r="B54" s="6">
        <f t="shared" ref="B54:M54" si="38">B42+B23</f>
        <v>377.8425</v>
      </c>
      <c r="C54" s="6">
        <f t="shared" si="38"/>
        <v>1108.338</v>
      </c>
      <c r="D54" s="6">
        <f t="shared" si="38"/>
        <v>2234.6685</v>
      </c>
      <c r="E54" s="6">
        <f t="shared" si="38"/>
        <v>3800.016</v>
      </c>
      <c r="F54" s="6">
        <f t="shared" si="38"/>
        <v>5397.75</v>
      </c>
      <c r="G54" s="6">
        <f t="shared" si="38"/>
        <v>7297.758</v>
      </c>
      <c r="H54" s="6">
        <f t="shared" si="38"/>
        <v>8841.5145</v>
      </c>
      <c r="I54" s="6">
        <f t="shared" si="38"/>
        <v>11284.896</v>
      </c>
      <c r="J54" s="6">
        <f t="shared" si="38"/>
        <v>13148.919</v>
      </c>
      <c r="K54" s="6">
        <f t="shared" si="38"/>
        <v>16193.25</v>
      </c>
      <c r="L54" s="6">
        <f t="shared" si="38"/>
        <v>18406.3275</v>
      </c>
      <c r="M54" s="6">
        <f t="shared" si="38"/>
        <v>20727.36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40</v>
      </c>
      <c r="B55" s="6">
        <f t="shared" ref="B55:M55" si="39">B12/B54</f>
        <v>2.553640737</v>
      </c>
      <c r="C55" s="6">
        <f t="shared" si="39"/>
        <v>1.390174477</v>
      </c>
      <c r="D55" s="6">
        <f t="shared" si="39"/>
        <v>1.041858155</v>
      </c>
      <c r="E55" s="6">
        <f t="shared" si="39"/>
        <v>0.8229300087</v>
      </c>
      <c r="F55" s="6">
        <f t="shared" si="39"/>
        <v>0.7268228429</v>
      </c>
      <c r="G55" s="6">
        <f t="shared" si="39"/>
        <v>0.6474627413</v>
      </c>
      <c r="H55" s="6">
        <f t="shared" si="39"/>
        <v>0.6234735915</v>
      </c>
      <c r="I55" s="6">
        <f t="shared" si="39"/>
        <v>0.5602980834</v>
      </c>
      <c r="J55" s="6">
        <f t="shared" si="39"/>
        <v>0.5409728967</v>
      </c>
      <c r="K55" s="6">
        <f t="shared" si="39"/>
        <v>0.4898522533</v>
      </c>
      <c r="L55" s="6">
        <f t="shared" si="39"/>
        <v>0.4740479599</v>
      </c>
      <c r="M55" s="6">
        <f t="shared" si="39"/>
        <v>0.4592318559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26</v>
      </c>
      <c r="B56" s="6">
        <f t="shared" ref="B56:M56" si="40">B27+B46</f>
        <v>0</v>
      </c>
      <c r="C56" s="6">
        <f t="shared" si="40"/>
        <v>0</v>
      </c>
      <c r="D56" s="6">
        <f t="shared" si="40"/>
        <v>244.0600875</v>
      </c>
      <c r="E56" s="6">
        <f t="shared" si="40"/>
        <v>719.92704</v>
      </c>
      <c r="F56" s="6">
        <f t="shared" si="40"/>
        <v>1458.936968</v>
      </c>
      <c r="G56" s="6">
        <f t="shared" si="40"/>
        <v>2492.42598</v>
      </c>
      <c r="H56" s="6">
        <f t="shared" si="40"/>
        <v>3555.44325</v>
      </c>
      <c r="I56" s="6">
        <f t="shared" si="40"/>
        <v>4825.76094</v>
      </c>
      <c r="J56" s="6">
        <f t="shared" si="40"/>
        <v>5867.686598</v>
      </c>
      <c r="K56" s="6">
        <f t="shared" si="40"/>
        <v>7514.23848</v>
      </c>
      <c r="L56" s="6">
        <f t="shared" si="40"/>
        <v>8782.547445</v>
      </c>
      <c r="M56" s="6">
        <f t="shared" si="40"/>
        <v>10847.115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28</v>
      </c>
      <c r="B57" s="6">
        <f t="shared" ref="B57:M57" si="41">B29+B48</f>
        <v>0</v>
      </c>
      <c r="C57" s="6">
        <f t="shared" si="41"/>
        <v>0</v>
      </c>
      <c r="D57" s="6">
        <f t="shared" si="41"/>
        <v>0</v>
      </c>
      <c r="E57" s="6">
        <f t="shared" si="41"/>
        <v>0</v>
      </c>
      <c r="F57" s="6">
        <f t="shared" si="41"/>
        <v>176.4534075</v>
      </c>
      <c r="G57" s="6">
        <f t="shared" si="41"/>
        <v>536.252766</v>
      </c>
      <c r="H57" s="6">
        <f t="shared" si="41"/>
        <v>1115.555126</v>
      </c>
      <c r="I57" s="6">
        <f t="shared" si="41"/>
        <v>1950.517536</v>
      </c>
      <c r="J57" s="6">
        <f t="shared" si="41"/>
        <v>2840.58189</v>
      </c>
      <c r="K57" s="6">
        <f t="shared" si="41"/>
        <v>3927.777282</v>
      </c>
      <c r="L57" s="6">
        <f t="shared" si="41"/>
        <v>4856.597792</v>
      </c>
      <c r="M57" s="6">
        <f t="shared" si="41"/>
        <v>6314.816928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29</v>
      </c>
      <c r="B58" s="6">
        <f t="shared" ref="B58:M58" si="42">B49+B30</f>
        <v>-964.874</v>
      </c>
      <c r="C58" s="6">
        <f t="shared" si="42"/>
        <v>-1540.7832</v>
      </c>
      <c r="D58" s="6">
        <f t="shared" si="42"/>
        <v>-2084.147513</v>
      </c>
      <c r="E58" s="6">
        <f t="shared" si="42"/>
        <v>-2407.22016</v>
      </c>
      <c r="F58" s="6">
        <f t="shared" si="42"/>
        <v>-2287.817625</v>
      </c>
      <c r="G58" s="6">
        <f t="shared" si="42"/>
        <v>-1696.347654</v>
      </c>
      <c r="H58" s="6">
        <f t="shared" si="42"/>
        <v>-841.4524245</v>
      </c>
      <c r="I58" s="6">
        <f t="shared" si="42"/>
        <v>453.372876</v>
      </c>
      <c r="J58" s="6">
        <f t="shared" si="42"/>
        <v>1595.059688</v>
      </c>
      <c r="K58" s="6">
        <f t="shared" si="42"/>
        <v>3509.715762</v>
      </c>
      <c r="L58" s="6">
        <f t="shared" si="42"/>
        <v>4913.663237</v>
      </c>
      <c r="M58" s="6">
        <f t="shared" si="42"/>
        <v>7643.267928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41</v>
      </c>
      <c r="B59" s="6">
        <f t="shared" ref="B59:M59" si="43">B58+B53</f>
        <v>-1718.861875</v>
      </c>
      <c r="C59" s="6">
        <f t="shared" si="43"/>
        <v>-2462.9091</v>
      </c>
      <c r="D59" s="6">
        <f t="shared" si="43"/>
        <v>-3164.966888</v>
      </c>
      <c r="E59" s="6">
        <f t="shared" si="43"/>
        <v>-3413.18376</v>
      </c>
      <c r="F59" s="6">
        <f t="shared" si="43"/>
        <v>-3197.968125</v>
      </c>
      <c r="G59" s="6">
        <f t="shared" si="43"/>
        <v>-2347.709754</v>
      </c>
      <c r="H59" s="6">
        <f t="shared" si="43"/>
        <v>-1418.4959</v>
      </c>
      <c r="I59" s="6">
        <f t="shared" si="43"/>
        <v>429.798876</v>
      </c>
      <c r="J59" s="6">
        <f t="shared" si="43"/>
        <v>1821.702038</v>
      </c>
      <c r="K59" s="6">
        <f t="shared" si="43"/>
        <v>4616.648262</v>
      </c>
      <c r="L59" s="6">
        <f t="shared" si="43"/>
        <v>6462.779612</v>
      </c>
      <c r="M59" s="6">
        <f t="shared" si="43"/>
        <v>9694.829928</v>
      </c>
      <c r="N59" s="3">
        <f>SUM(B59:M59)</f>
        <v>5301.663314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3">
    <mergeCell ref="A1:M1"/>
    <mergeCell ref="A31:M31"/>
    <mergeCell ref="A50:M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</v>
      </c>
      <c r="B3" s="8">
        <v>20.0</v>
      </c>
      <c r="C3" s="5">
        <f t="shared" ref="C3:M3" si="1">B3+10</f>
        <v>30</v>
      </c>
      <c r="D3" s="5">
        <f t="shared" si="1"/>
        <v>40</v>
      </c>
      <c r="E3" s="5">
        <f t="shared" si="1"/>
        <v>50</v>
      </c>
      <c r="F3" s="5">
        <f t="shared" si="1"/>
        <v>60</v>
      </c>
      <c r="G3" s="5">
        <f t="shared" si="1"/>
        <v>70</v>
      </c>
      <c r="H3" s="5">
        <f t="shared" si="1"/>
        <v>80</v>
      </c>
      <c r="I3" s="5">
        <f t="shared" si="1"/>
        <v>90</v>
      </c>
      <c r="J3" s="5">
        <f t="shared" si="1"/>
        <v>100</v>
      </c>
      <c r="K3" s="5">
        <f t="shared" si="1"/>
        <v>110</v>
      </c>
      <c r="L3" s="5">
        <f t="shared" si="1"/>
        <v>120</v>
      </c>
      <c r="M3" s="5">
        <f t="shared" si="1"/>
        <v>130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5">
        <f t="shared" ref="B5:M5" si="2">B3*B4</f>
        <v>600</v>
      </c>
      <c r="C5" s="5">
        <f t="shared" si="2"/>
        <v>900</v>
      </c>
      <c r="D5" s="5">
        <f t="shared" si="2"/>
        <v>1200</v>
      </c>
      <c r="E5" s="5">
        <f t="shared" si="2"/>
        <v>1500</v>
      </c>
      <c r="F5" s="5">
        <f t="shared" si="2"/>
        <v>1800</v>
      </c>
      <c r="G5" s="5">
        <f t="shared" si="2"/>
        <v>2100</v>
      </c>
      <c r="H5" s="5">
        <f t="shared" si="2"/>
        <v>2400</v>
      </c>
      <c r="I5" s="5">
        <f t="shared" si="2"/>
        <v>2700</v>
      </c>
      <c r="J5" s="5">
        <f t="shared" si="2"/>
        <v>3000</v>
      </c>
      <c r="K5" s="5">
        <f t="shared" si="2"/>
        <v>3300</v>
      </c>
      <c r="L5" s="5">
        <f t="shared" si="2"/>
        <v>3600</v>
      </c>
      <c r="M5" s="5">
        <f t="shared" si="2"/>
        <v>3900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</v>
      </c>
      <c r="B6" s="8">
        <v>1.7</v>
      </c>
      <c r="C6" s="8">
        <v>1.6</v>
      </c>
      <c r="D6" s="8">
        <v>1.6</v>
      </c>
      <c r="E6" s="8">
        <v>1.5</v>
      </c>
      <c r="F6" s="8">
        <v>1.5</v>
      </c>
      <c r="G6" s="8">
        <v>1.5</v>
      </c>
      <c r="H6" s="8">
        <v>1.5</v>
      </c>
      <c r="I6" s="8">
        <v>1.5</v>
      </c>
      <c r="J6" s="8">
        <v>1.6</v>
      </c>
      <c r="K6" s="8">
        <v>1.6</v>
      </c>
      <c r="L6" s="8">
        <v>1.7</v>
      </c>
      <c r="M6" s="8">
        <v>2.0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6</v>
      </c>
      <c r="B7" s="8">
        <v>7.0</v>
      </c>
      <c r="C7" s="8">
        <v>7.0</v>
      </c>
      <c r="D7" s="8">
        <v>7.0</v>
      </c>
      <c r="E7" s="5">
        <v>5.0</v>
      </c>
      <c r="F7" s="5">
        <v>5.0</v>
      </c>
      <c r="G7" s="5">
        <v>5.0</v>
      </c>
      <c r="H7" s="8">
        <f t="shared" ref="H7:J7" si="3">G7+1</f>
        <v>6</v>
      </c>
      <c r="I7" s="8">
        <f t="shared" si="3"/>
        <v>7</v>
      </c>
      <c r="J7" s="8">
        <f t="shared" si="3"/>
        <v>8</v>
      </c>
      <c r="K7" s="8">
        <v>9.0</v>
      </c>
      <c r="L7" s="8">
        <v>9.0</v>
      </c>
      <c r="M7" s="8">
        <v>9.0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6">
        <f t="shared" ref="B8:M8" si="4">B5*B7/100</f>
        <v>42</v>
      </c>
      <c r="C8" s="6">
        <f t="shared" si="4"/>
        <v>63</v>
      </c>
      <c r="D8" s="6">
        <f t="shared" si="4"/>
        <v>84</v>
      </c>
      <c r="E8" s="6">
        <f t="shared" si="4"/>
        <v>75</v>
      </c>
      <c r="F8" s="6">
        <f t="shared" si="4"/>
        <v>90</v>
      </c>
      <c r="G8" s="6">
        <f t="shared" si="4"/>
        <v>105</v>
      </c>
      <c r="H8" s="6">
        <f t="shared" si="4"/>
        <v>144</v>
      </c>
      <c r="I8" s="6">
        <f t="shared" si="4"/>
        <v>189</v>
      </c>
      <c r="J8" s="6">
        <f t="shared" si="4"/>
        <v>240</v>
      </c>
      <c r="K8" s="6">
        <f t="shared" si="4"/>
        <v>297</v>
      </c>
      <c r="L8" s="6">
        <f t="shared" si="4"/>
        <v>324</v>
      </c>
      <c r="M8" s="6">
        <f t="shared" si="4"/>
        <v>351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6">
        <f t="shared" ref="B9:M9" si="5">B8</f>
        <v>42</v>
      </c>
      <c r="C9" s="6">
        <f t="shared" si="5"/>
        <v>63</v>
      </c>
      <c r="D9" s="6">
        <f t="shared" si="5"/>
        <v>84</v>
      </c>
      <c r="E9" s="6">
        <f t="shared" si="5"/>
        <v>75</v>
      </c>
      <c r="F9" s="6">
        <f t="shared" si="5"/>
        <v>90</v>
      </c>
      <c r="G9" s="6">
        <f t="shared" si="5"/>
        <v>105</v>
      </c>
      <c r="H9" s="6">
        <f t="shared" si="5"/>
        <v>144</v>
      </c>
      <c r="I9" s="6">
        <f t="shared" si="5"/>
        <v>189</v>
      </c>
      <c r="J9" s="6">
        <f t="shared" si="5"/>
        <v>240</v>
      </c>
      <c r="K9" s="6">
        <f t="shared" si="5"/>
        <v>297</v>
      </c>
      <c r="L9" s="6">
        <f t="shared" si="5"/>
        <v>324</v>
      </c>
      <c r="M9" s="6">
        <f t="shared" si="5"/>
        <v>351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9</v>
      </c>
      <c r="B10" s="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42</v>
      </c>
      <c r="B11" s="11"/>
      <c r="C11" s="11"/>
      <c r="D11" s="11"/>
      <c r="E11" s="11"/>
      <c r="F11" s="11">
        <f t="shared" ref="F11:M11" si="6">(0.6+F21*0.05*F8)*0.8</f>
        <v>90.48</v>
      </c>
      <c r="G11" s="11">
        <f t="shared" si="6"/>
        <v>105.48</v>
      </c>
      <c r="H11" s="11">
        <f t="shared" si="6"/>
        <v>144.48</v>
      </c>
      <c r="I11" s="11">
        <f t="shared" si="6"/>
        <v>189.48</v>
      </c>
      <c r="J11" s="11">
        <f t="shared" si="6"/>
        <v>240.48</v>
      </c>
      <c r="K11" s="11">
        <f t="shared" si="6"/>
        <v>297.48</v>
      </c>
      <c r="L11" s="11">
        <f t="shared" si="6"/>
        <v>324.48</v>
      </c>
      <c r="M11" s="11">
        <f t="shared" si="6"/>
        <v>351.48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11</v>
      </c>
      <c r="B12" s="23">
        <v>3000.0</v>
      </c>
      <c r="C12" s="23">
        <v>3000.0</v>
      </c>
      <c r="D12" s="23">
        <v>3000.0</v>
      </c>
      <c r="E12" s="23">
        <v>3000.0</v>
      </c>
      <c r="F12" s="23">
        <v>3000.0</v>
      </c>
      <c r="G12" s="11">
        <f t="shared" ref="G12:M12" si="7">G5*G6+G10+G11</f>
        <v>3255.48</v>
      </c>
      <c r="H12" s="11">
        <f t="shared" si="7"/>
        <v>3744.48</v>
      </c>
      <c r="I12" s="11">
        <f t="shared" si="7"/>
        <v>4239.48</v>
      </c>
      <c r="J12" s="11">
        <f t="shared" si="7"/>
        <v>5040.48</v>
      </c>
      <c r="K12" s="11">
        <f t="shared" si="7"/>
        <v>5577.48</v>
      </c>
      <c r="L12" s="11">
        <f t="shared" si="7"/>
        <v>6444.48</v>
      </c>
      <c r="M12" s="11">
        <f t="shared" si="7"/>
        <v>8151.48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43</v>
      </c>
      <c r="B13" s="23">
        <v>100.0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44</v>
      </c>
      <c r="B14" s="6">
        <f t="shared" ref="B14:M14" si="8">B12/B4</f>
        <v>100</v>
      </c>
      <c r="C14" s="6">
        <f t="shared" si="8"/>
        <v>100</v>
      </c>
      <c r="D14" s="6">
        <f t="shared" si="8"/>
        <v>100</v>
      </c>
      <c r="E14" s="6">
        <f t="shared" si="8"/>
        <v>100</v>
      </c>
      <c r="F14" s="6">
        <f t="shared" si="8"/>
        <v>100</v>
      </c>
      <c r="G14" s="6">
        <f t="shared" si="8"/>
        <v>108.516</v>
      </c>
      <c r="H14" s="6">
        <f t="shared" si="8"/>
        <v>124.816</v>
      </c>
      <c r="I14" s="6">
        <f t="shared" si="8"/>
        <v>141.316</v>
      </c>
      <c r="J14" s="6">
        <f t="shared" si="8"/>
        <v>168.016</v>
      </c>
      <c r="K14" s="6">
        <f t="shared" si="8"/>
        <v>185.916</v>
      </c>
      <c r="L14" s="6">
        <f t="shared" si="8"/>
        <v>214.816</v>
      </c>
      <c r="M14" s="6">
        <f t="shared" si="8"/>
        <v>271.716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12</v>
      </c>
      <c r="B15" s="6">
        <f t="shared" ref="B15:M15" si="9">B12/B9</f>
        <v>71.42857143</v>
      </c>
      <c r="C15" s="6">
        <f t="shared" si="9"/>
        <v>47.61904762</v>
      </c>
      <c r="D15" s="6">
        <f t="shared" si="9"/>
        <v>35.71428571</v>
      </c>
      <c r="E15" s="6">
        <f t="shared" si="9"/>
        <v>40</v>
      </c>
      <c r="F15" s="6">
        <f t="shared" si="9"/>
        <v>33.33333333</v>
      </c>
      <c r="G15" s="6">
        <f t="shared" si="9"/>
        <v>31.00457143</v>
      </c>
      <c r="H15" s="6">
        <f t="shared" si="9"/>
        <v>26.00333333</v>
      </c>
      <c r="I15" s="6">
        <f t="shared" si="9"/>
        <v>22.43111111</v>
      </c>
      <c r="J15" s="6">
        <f t="shared" si="9"/>
        <v>21.002</v>
      </c>
      <c r="K15" s="6">
        <f t="shared" si="9"/>
        <v>18.77939394</v>
      </c>
      <c r="L15" s="6">
        <f t="shared" si="9"/>
        <v>19.89037037</v>
      </c>
      <c r="M15" s="6">
        <f t="shared" si="9"/>
        <v>23.22358974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13</v>
      </c>
      <c r="B16" s="6">
        <f t="shared" ref="B16:M16" si="10">B17+B18</f>
        <v>10.4</v>
      </c>
      <c r="C16" s="6">
        <f t="shared" si="10"/>
        <v>10.4</v>
      </c>
      <c r="D16" s="6">
        <f t="shared" si="10"/>
        <v>10.4</v>
      </c>
      <c r="E16" s="6">
        <f t="shared" si="10"/>
        <v>10.4</v>
      </c>
      <c r="F16" s="6">
        <f t="shared" si="10"/>
        <v>10.4</v>
      </c>
      <c r="G16" s="6">
        <f t="shared" si="10"/>
        <v>10.4</v>
      </c>
      <c r="H16" s="6">
        <f t="shared" si="10"/>
        <v>10.4</v>
      </c>
      <c r="I16" s="6">
        <f t="shared" si="10"/>
        <v>10.4</v>
      </c>
      <c r="J16" s="6">
        <f t="shared" si="10"/>
        <v>10.4</v>
      </c>
      <c r="K16" s="6">
        <f t="shared" si="10"/>
        <v>10.4</v>
      </c>
      <c r="L16" s="6">
        <f t="shared" si="10"/>
        <v>10.4</v>
      </c>
      <c r="M16" s="6">
        <f t="shared" si="10"/>
        <v>10.4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14</v>
      </c>
      <c r="B17" s="8">
        <v>3.65</v>
      </c>
      <c r="C17" s="8">
        <v>3.65</v>
      </c>
      <c r="D17" s="8">
        <v>3.65</v>
      </c>
      <c r="E17" s="8">
        <v>3.65</v>
      </c>
      <c r="F17" s="8">
        <v>3.65</v>
      </c>
      <c r="G17" s="8">
        <v>3.65</v>
      </c>
      <c r="H17" s="8">
        <v>3.65</v>
      </c>
      <c r="I17" s="8">
        <v>3.65</v>
      </c>
      <c r="J17" s="8">
        <v>3.65</v>
      </c>
      <c r="K17" s="8">
        <v>3.65</v>
      </c>
      <c r="L17" s="8">
        <v>3.65</v>
      </c>
      <c r="M17" s="8">
        <v>3.65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15</v>
      </c>
      <c r="B18" s="6">
        <f t="shared" ref="B18:M18" si="11">B19+B20</f>
        <v>6.75</v>
      </c>
      <c r="C18" s="6">
        <f t="shared" si="11"/>
        <v>6.75</v>
      </c>
      <c r="D18" s="6">
        <f t="shared" si="11"/>
        <v>6.75</v>
      </c>
      <c r="E18" s="6">
        <f t="shared" si="11"/>
        <v>6.75</v>
      </c>
      <c r="F18" s="6">
        <f t="shared" si="11"/>
        <v>6.75</v>
      </c>
      <c r="G18" s="6">
        <f t="shared" si="11"/>
        <v>6.75</v>
      </c>
      <c r="H18" s="6">
        <f t="shared" si="11"/>
        <v>6.75</v>
      </c>
      <c r="I18" s="6">
        <f t="shared" si="11"/>
        <v>6.75</v>
      </c>
      <c r="J18" s="6">
        <f t="shared" si="11"/>
        <v>6.75</v>
      </c>
      <c r="K18" s="6">
        <f t="shared" si="11"/>
        <v>6.75</v>
      </c>
      <c r="L18" s="6">
        <f t="shared" si="11"/>
        <v>6.75</v>
      </c>
      <c r="M18" s="6">
        <f t="shared" si="11"/>
        <v>6.75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16</v>
      </c>
      <c r="B19" s="6">
        <v>3.0</v>
      </c>
      <c r="C19" s="6">
        <v>3.0</v>
      </c>
      <c r="D19" s="6">
        <v>3.0</v>
      </c>
      <c r="E19" s="6">
        <v>3.0</v>
      </c>
      <c r="F19" s="6">
        <v>3.0</v>
      </c>
      <c r="G19" s="6">
        <v>3.0</v>
      </c>
      <c r="H19" s="6">
        <v>3.0</v>
      </c>
      <c r="I19" s="6">
        <v>3.0</v>
      </c>
      <c r="J19" s="6">
        <v>3.0</v>
      </c>
      <c r="K19" s="6">
        <v>3.0</v>
      </c>
      <c r="L19" s="6">
        <v>3.0</v>
      </c>
      <c r="M19" s="6">
        <v>3.0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17</v>
      </c>
      <c r="B20" s="6">
        <f t="shared" ref="B20:M20" si="12">B21*0.15</f>
        <v>3.75</v>
      </c>
      <c r="C20" s="6">
        <f t="shared" si="12"/>
        <v>3.75</v>
      </c>
      <c r="D20" s="6">
        <f t="shared" si="12"/>
        <v>3.75</v>
      </c>
      <c r="E20" s="6">
        <f t="shared" si="12"/>
        <v>3.75</v>
      </c>
      <c r="F20" s="6">
        <f t="shared" si="12"/>
        <v>3.75</v>
      </c>
      <c r="G20" s="6">
        <f t="shared" si="12"/>
        <v>3.75</v>
      </c>
      <c r="H20" s="6">
        <f t="shared" si="12"/>
        <v>3.75</v>
      </c>
      <c r="I20" s="6">
        <f t="shared" si="12"/>
        <v>3.75</v>
      </c>
      <c r="J20" s="6">
        <f t="shared" si="12"/>
        <v>3.75</v>
      </c>
      <c r="K20" s="6">
        <f t="shared" si="12"/>
        <v>3.75</v>
      </c>
      <c r="L20" s="6">
        <f t="shared" si="12"/>
        <v>3.75</v>
      </c>
      <c r="M20" s="6">
        <f t="shared" si="12"/>
        <v>3.75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5" t="s">
        <v>18</v>
      </c>
      <c r="B21" s="23">
        <v>25.0</v>
      </c>
      <c r="C21" s="23">
        <v>25.0</v>
      </c>
      <c r="D21" s="23">
        <v>25.0</v>
      </c>
      <c r="E21" s="23">
        <v>25.0</v>
      </c>
      <c r="F21" s="23">
        <v>25.0</v>
      </c>
      <c r="G21" s="23">
        <v>25.0</v>
      </c>
      <c r="H21" s="23">
        <v>25.0</v>
      </c>
      <c r="I21" s="23">
        <v>25.0</v>
      </c>
      <c r="J21" s="23">
        <v>25.0</v>
      </c>
      <c r="K21" s="23">
        <v>25.0</v>
      </c>
      <c r="L21" s="23">
        <v>25.0</v>
      </c>
      <c r="M21" s="23">
        <v>25.0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19</v>
      </c>
      <c r="B22" s="6">
        <f t="shared" ref="B22:M22" si="13">B21-B16-B15</f>
        <v>-56.82857143</v>
      </c>
      <c r="C22" s="6">
        <f t="shared" si="13"/>
        <v>-33.01904762</v>
      </c>
      <c r="D22" s="6">
        <f t="shared" si="13"/>
        <v>-21.11428571</v>
      </c>
      <c r="E22" s="6">
        <f t="shared" si="13"/>
        <v>-25.4</v>
      </c>
      <c r="F22" s="6">
        <f t="shared" si="13"/>
        <v>-18.73333333</v>
      </c>
      <c r="G22" s="6">
        <f t="shared" si="13"/>
        <v>-16.40457143</v>
      </c>
      <c r="H22" s="6">
        <f t="shared" si="13"/>
        <v>-11.40333333</v>
      </c>
      <c r="I22" s="6">
        <f t="shared" si="13"/>
        <v>-7.831111111</v>
      </c>
      <c r="J22" s="6">
        <f t="shared" si="13"/>
        <v>-6.402</v>
      </c>
      <c r="K22" s="6">
        <f t="shared" si="13"/>
        <v>-4.179393939</v>
      </c>
      <c r="L22" s="6">
        <f t="shared" si="13"/>
        <v>-5.29037037</v>
      </c>
      <c r="M22" s="6">
        <f t="shared" si="13"/>
        <v>-8.623589744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20</v>
      </c>
      <c r="B23" s="6">
        <f t="shared" ref="B23:M23" si="14">B21-B16</f>
        <v>14.6</v>
      </c>
      <c r="C23" s="6">
        <f t="shared" si="14"/>
        <v>14.6</v>
      </c>
      <c r="D23" s="6">
        <f t="shared" si="14"/>
        <v>14.6</v>
      </c>
      <c r="E23" s="6">
        <f t="shared" si="14"/>
        <v>14.6</v>
      </c>
      <c r="F23" s="6">
        <f t="shared" si="14"/>
        <v>14.6</v>
      </c>
      <c r="G23" s="6">
        <f t="shared" si="14"/>
        <v>14.6</v>
      </c>
      <c r="H23" s="6">
        <f t="shared" si="14"/>
        <v>14.6</v>
      </c>
      <c r="I23" s="6">
        <f t="shared" si="14"/>
        <v>14.6</v>
      </c>
      <c r="J23" s="6">
        <f t="shared" si="14"/>
        <v>14.6</v>
      </c>
      <c r="K23" s="6">
        <f t="shared" si="14"/>
        <v>14.6</v>
      </c>
      <c r="L23" s="6">
        <f t="shared" si="14"/>
        <v>14.6</v>
      </c>
      <c r="M23" s="6">
        <f t="shared" si="14"/>
        <v>14.6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21</v>
      </c>
      <c r="B24" s="6">
        <f t="shared" ref="B24:M24" si="15">B25/B12</f>
        <v>0.35</v>
      </c>
      <c r="C24" s="6">
        <f t="shared" si="15"/>
        <v>0.525</v>
      </c>
      <c r="D24" s="6">
        <f t="shared" si="15"/>
        <v>0.7</v>
      </c>
      <c r="E24" s="6">
        <f t="shared" si="15"/>
        <v>0.625</v>
      </c>
      <c r="F24" s="6">
        <f t="shared" si="15"/>
        <v>0.75</v>
      </c>
      <c r="G24" s="6">
        <f t="shared" si="15"/>
        <v>0.8063327067</v>
      </c>
      <c r="H24" s="6">
        <f t="shared" si="15"/>
        <v>0.9614152032</v>
      </c>
      <c r="I24" s="6">
        <f t="shared" si="15"/>
        <v>1.114523479</v>
      </c>
      <c r="J24" s="6">
        <f t="shared" si="15"/>
        <v>1.190362823</v>
      </c>
      <c r="K24" s="6">
        <f t="shared" si="15"/>
        <v>1.331246369</v>
      </c>
      <c r="L24" s="6">
        <f t="shared" si="15"/>
        <v>1.256889617</v>
      </c>
      <c r="M24" s="6">
        <f t="shared" si="15"/>
        <v>1.076491631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22</v>
      </c>
      <c r="B25" s="6">
        <f t="shared" ref="B25:M25" si="16">B8*B21</f>
        <v>1050</v>
      </c>
      <c r="C25" s="6">
        <f t="shared" si="16"/>
        <v>1575</v>
      </c>
      <c r="D25" s="6">
        <f t="shared" si="16"/>
        <v>2100</v>
      </c>
      <c r="E25" s="6">
        <f t="shared" si="16"/>
        <v>1875</v>
      </c>
      <c r="F25" s="6">
        <f t="shared" si="16"/>
        <v>2250</v>
      </c>
      <c r="G25" s="6">
        <f t="shared" si="16"/>
        <v>2625</v>
      </c>
      <c r="H25" s="6">
        <f t="shared" si="16"/>
        <v>3600</v>
      </c>
      <c r="I25" s="6">
        <f t="shared" si="16"/>
        <v>4725</v>
      </c>
      <c r="J25" s="6">
        <f t="shared" si="16"/>
        <v>6000</v>
      </c>
      <c r="K25" s="6">
        <f t="shared" si="16"/>
        <v>7425</v>
      </c>
      <c r="L25" s="6">
        <f t="shared" si="16"/>
        <v>8100</v>
      </c>
      <c r="M25" s="6">
        <f t="shared" si="16"/>
        <v>8775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23</v>
      </c>
      <c r="B26" s="6">
        <f t="shared" ref="B26:M26" si="17">B25-(B8*B16)</f>
        <v>613.2</v>
      </c>
      <c r="C26" s="6">
        <f t="shared" si="17"/>
        <v>919.8</v>
      </c>
      <c r="D26" s="6">
        <f t="shared" si="17"/>
        <v>1226.4</v>
      </c>
      <c r="E26" s="6">
        <f t="shared" si="17"/>
        <v>1095</v>
      </c>
      <c r="F26" s="6">
        <f t="shared" si="17"/>
        <v>1314</v>
      </c>
      <c r="G26" s="6">
        <f t="shared" si="17"/>
        <v>1533</v>
      </c>
      <c r="H26" s="6">
        <f t="shared" si="17"/>
        <v>2102.4</v>
      </c>
      <c r="I26" s="6">
        <f t="shared" si="17"/>
        <v>2759.4</v>
      </c>
      <c r="J26" s="6">
        <f t="shared" si="17"/>
        <v>3504</v>
      </c>
      <c r="K26" s="6">
        <f t="shared" si="17"/>
        <v>4336.2</v>
      </c>
      <c r="L26" s="6">
        <f t="shared" si="17"/>
        <v>4730.4</v>
      </c>
      <c r="M26" s="6">
        <f t="shared" si="17"/>
        <v>5124.6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24</v>
      </c>
      <c r="B27" s="6">
        <f t="shared" ref="B27:M27" si="18">B26-B12</f>
        <v>-2386.8</v>
      </c>
      <c r="C27" s="6">
        <f t="shared" si="18"/>
        <v>-2080.2</v>
      </c>
      <c r="D27" s="6">
        <f t="shared" si="18"/>
        <v>-1773.6</v>
      </c>
      <c r="E27" s="6">
        <f t="shared" si="18"/>
        <v>-1905</v>
      </c>
      <c r="F27" s="6">
        <f t="shared" si="18"/>
        <v>-1686</v>
      </c>
      <c r="G27" s="6">
        <f t="shared" si="18"/>
        <v>-1722.48</v>
      </c>
      <c r="H27" s="6">
        <f t="shared" si="18"/>
        <v>-1642.08</v>
      </c>
      <c r="I27" s="6">
        <f t="shared" si="18"/>
        <v>-1480.08</v>
      </c>
      <c r="J27" s="6">
        <f t="shared" si="18"/>
        <v>-1536.48</v>
      </c>
      <c r="K27" s="6">
        <f t="shared" si="18"/>
        <v>-1241.28</v>
      </c>
      <c r="L27" s="6">
        <f t="shared" si="18"/>
        <v>-1714.08</v>
      </c>
      <c r="M27" s="6">
        <f t="shared" si="18"/>
        <v>-3026.88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6" t="s">
        <v>45</v>
      </c>
      <c r="B28" s="27">
        <f t="shared" ref="B28:M28" si="19">B12/B8</f>
        <v>71.42857143</v>
      </c>
      <c r="C28" s="27">
        <f t="shared" si="19"/>
        <v>47.61904762</v>
      </c>
      <c r="D28" s="27">
        <f t="shared" si="19"/>
        <v>35.71428571</v>
      </c>
      <c r="E28" s="27">
        <f t="shared" si="19"/>
        <v>40</v>
      </c>
      <c r="F28" s="27">
        <f t="shared" si="19"/>
        <v>33.33333333</v>
      </c>
      <c r="G28" s="27">
        <f t="shared" si="19"/>
        <v>31.00457143</v>
      </c>
      <c r="H28" s="27">
        <f t="shared" si="19"/>
        <v>26.00333333</v>
      </c>
      <c r="I28" s="27">
        <f t="shared" si="19"/>
        <v>22.43111111</v>
      </c>
      <c r="J28" s="27">
        <f t="shared" si="19"/>
        <v>21.002</v>
      </c>
      <c r="K28" s="27">
        <f t="shared" si="19"/>
        <v>18.77939394</v>
      </c>
      <c r="L28" s="27">
        <f t="shared" si="19"/>
        <v>19.89037037</v>
      </c>
      <c r="M28" s="27">
        <f t="shared" si="19"/>
        <v>23.22358974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46</v>
      </c>
      <c r="B29" s="30">
        <f t="shared" ref="B29:M29" si="20">B27/B26</f>
        <v>-3.892367906</v>
      </c>
      <c r="C29" s="30">
        <f t="shared" si="20"/>
        <v>-2.261578604</v>
      </c>
      <c r="D29" s="30">
        <f t="shared" si="20"/>
        <v>-1.446183953</v>
      </c>
      <c r="E29" s="30">
        <f t="shared" si="20"/>
        <v>-1.739726027</v>
      </c>
      <c r="F29" s="30">
        <f t="shared" si="20"/>
        <v>-1.283105023</v>
      </c>
      <c r="G29" s="30">
        <f t="shared" si="20"/>
        <v>-1.123600783</v>
      </c>
      <c r="H29" s="30">
        <f t="shared" si="20"/>
        <v>-0.7810502283</v>
      </c>
      <c r="I29" s="30">
        <f t="shared" si="20"/>
        <v>-0.5363774734</v>
      </c>
      <c r="J29" s="30">
        <f t="shared" si="20"/>
        <v>-0.4384931507</v>
      </c>
      <c r="K29" s="30">
        <f t="shared" si="20"/>
        <v>-0.2862598589</v>
      </c>
      <c r="L29" s="30">
        <f t="shared" si="20"/>
        <v>-0.362354135</v>
      </c>
      <c r="M29" s="30">
        <f t="shared" si="20"/>
        <v>-0.5906568318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4" t="s">
        <v>25</v>
      </c>
      <c r="B30" s="14"/>
      <c r="C30" s="14"/>
      <c r="D30" s="15">
        <v>0.15</v>
      </c>
      <c r="E30" s="15">
        <v>0.15</v>
      </c>
      <c r="F30" s="15">
        <v>0.15</v>
      </c>
      <c r="G30" s="15">
        <v>0.15</v>
      </c>
      <c r="H30" s="15">
        <v>0.15</v>
      </c>
      <c r="I30" s="15">
        <v>0.15</v>
      </c>
      <c r="J30" s="15">
        <v>0.15</v>
      </c>
      <c r="K30" s="15">
        <v>0.15</v>
      </c>
      <c r="L30" s="15">
        <v>0.15</v>
      </c>
      <c r="M30" s="15">
        <v>0.15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26</v>
      </c>
      <c r="B31" s="14"/>
      <c r="C31" s="14"/>
      <c r="D31" s="6">
        <f t="shared" ref="D31:M31" si="21">(B9*D23)+(B9*D30*D23)</f>
        <v>705.18</v>
      </c>
      <c r="E31" s="6">
        <f t="shared" si="21"/>
        <v>1057.77</v>
      </c>
      <c r="F31" s="6">
        <f t="shared" si="21"/>
        <v>1410.36</v>
      </c>
      <c r="G31" s="6">
        <f t="shared" si="21"/>
        <v>1259.25</v>
      </c>
      <c r="H31" s="6">
        <f t="shared" si="21"/>
        <v>1511.1</v>
      </c>
      <c r="I31" s="6">
        <f t="shared" si="21"/>
        <v>1762.95</v>
      </c>
      <c r="J31" s="6">
        <f t="shared" si="21"/>
        <v>2417.76</v>
      </c>
      <c r="K31" s="6">
        <f t="shared" si="21"/>
        <v>3173.31</v>
      </c>
      <c r="L31" s="6">
        <f t="shared" si="21"/>
        <v>4029.6</v>
      </c>
      <c r="M31" s="6">
        <f t="shared" si="21"/>
        <v>4986.63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27</v>
      </c>
      <c r="B32" s="14"/>
      <c r="C32" s="14"/>
      <c r="D32" s="14"/>
      <c r="E32" s="14"/>
      <c r="F32" s="15">
        <v>0.08</v>
      </c>
      <c r="G32" s="15">
        <v>0.08</v>
      </c>
      <c r="H32" s="15">
        <v>0.08</v>
      </c>
      <c r="I32" s="15">
        <v>0.08</v>
      </c>
      <c r="J32" s="15">
        <v>0.08</v>
      </c>
      <c r="K32" s="15">
        <v>0.08</v>
      </c>
      <c r="L32" s="15">
        <v>0.08</v>
      </c>
      <c r="M32" s="15">
        <v>0.08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28</v>
      </c>
      <c r="B33" s="14"/>
      <c r="C33" s="14"/>
      <c r="D33" s="14"/>
      <c r="E33" s="14"/>
      <c r="F33" s="6">
        <f t="shared" ref="F33:M33" si="22">(B9*F16)+(B9*F30*F32*F23)</f>
        <v>444.1584</v>
      </c>
      <c r="G33" s="6">
        <f t="shared" si="22"/>
        <v>666.2376</v>
      </c>
      <c r="H33" s="6">
        <f t="shared" si="22"/>
        <v>888.3168</v>
      </c>
      <c r="I33" s="6">
        <f t="shared" si="22"/>
        <v>793.14</v>
      </c>
      <c r="J33" s="6">
        <f t="shared" si="22"/>
        <v>951.768</v>
      </c>
      <c r="K33" s="6">
        <f t="shared" si="22"/>
        <v>1110.396</v>
      </c>
      <c r="L33" s="6">
        <f t="shared" si="22"/>
        <v>1522.8288</v>
      </c>
      <c r="M33" s="6">
        <f t="shared" si="22"/>
        <v>1998.7128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29</v>
      </c>
      <c r="B34" s="16">
        <f t="shared" ref="B34:M34" si="23">(B33+B31)-B12</f>
        <v>-3000</v>
      </c>
      <c r="C34" s="16">
        <f t="shared" si="23"/>
        <v>-3000</v>
      </c>
      <c r="D34" s="16">
        <f t="shared" si="23"/>
        <v>-2294.82</v>
      </c>
      <c r="E34" s="16">
        <f t="shared" si="23"/>
        <v>-1942.23</v>
      </c>
      <c r="F34" s="16">
        <f t="shared" si="23"/>
        <v>-1145.4816</v>
      </c>
      <c r="G34" s="16">
        <f t="shared" si="23"/>
        <v>-1329.9924</v>
      </c>
      <c r="H34" s="16">
        <f t="shared" si="23"/>
        <v>-1345.0632</v>
      </c>
      <c r="I34" s="16">
        <f t="shared" si="23"/>
        <v>-1683.39</v>
      </c>
      <c r="J34" s="16">
        <f t="shared" si="23"/>
        <v>-1670.952</v>
      </c>
      <c r="K34" s="16">
        <f t="shared" si="23"/>
        <v>-1293.774</v>
      </c>
      <c r="L34" s="16">
        <f t="shared" si="23"/>
        <v>-892.0512</v>
      </c>
      <c r="M34" s="16">
        <f t="shared" si="23"/>
        <v>-1166.1372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30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31</v>
      </c>
      <c r="B36" s="5">
        <v>5.0</v>
      </c>
      <c r="C36" s="5">
        <v>10.0</v>
      </c>
      <c r="D36" s="5">
        <v>15.0</v>
      </c>
      <c r="E36" s="5">
        <v>20.0</v>
      </c>
      <c r="F36" s="5">
        <v>25.0</v>
      </c>
      <c r="G36" s="5">
        <v>30.0</v>
      </c>
      <c r="H36" s="5">
        <v>35.0</v>
      </c>
      <c r="I36" s="5">
        <v>40.0</v>
      </c>
      <c r="J36" s="5">
        <v>45.0</v>
      </c>
      <c r="K36" s="5">
        <v>50.0</v>
      </c>
      <c r="L36" s="5">
        <v>55.0</v>
      </c>
      <c r="M36" s="5">
        <v>60.0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32</v>
      </c>
      <c r="B37" s="6">
        <f t="shared" ref="B37:M37" si="24">B8*B36/100</f>
        <v>2.1</v>
      </c>
      <c r="C37" s="6">
        <f t="shared" si="24"/>
        <v>6.3</v>
      </c>
      <c r="D37" s="6">
        <f t="shared" si="24"/>
        <v>12.6</v>
      </c>
      <c r="E37" s="6">
        <f t="shared" si="24"/>
        <v>15</v>
      </c>
      <c r="F37" s="6">
        <f t="shared" si="24"/>
        <v>22.5</v>
      </c>
      <c r="G37" s="6">
        <f t="shared" si="24"/>
        <v>31.5</v>
      </c>
      <c r="H37" s="6">
        <f t="shared" si="24"/>
        <v>50.4</v>
      </c>
      <c r="I37" s="6">
        <f t="shared" si="24"/>
        <v>75.6</v>
      </c>
      <c r="J37" s="6">
        <f t="shared" si="24"/>
        <v>108</v>
      </c>
      <c r="K37" s="6">
        <f t="shared" si="24"/>
        <v>148.5</v>
      </c>
      <c r="L37" s="6">
        <f t="shared" si="24"/>
        <v>178.2</v>
      </c>
      <c r="M37" s="6">
        <f t="shared" si="24"/>
        <v>210.6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33</v>
      </c>
      <c r="B38" s="6">
        <f t="shared" ref="B38:M38" si="25">B37</f>
        <v>2.1</v>
      </c>
      <c r="C38" s="6">
        <f t="shared" si="25"/>
        <v>6.3</v>
      </c>
      <c r="D38" s="6">
        <f t="shared" si="25"/>
        <v>12.6</v>
      </c>
      <c r="E38" s="6">
        <f t="shared" si="25"/>
        <v>15</v>
      </c>
      <c r="F38" s="6">
        <f t="shared" si="25"/>
        <v>22.5</v>
      </c>
      <c r="G38" s="6">
        <f t="shared" si="25"/>
        <v>31.5</v>
      </c>
      <c r="H38" s="6">
        <f t="shared" si="25"/>
        <v>50.4</v>
      </c>
      <c r="I38" s="6">
        <f t="shared" si="25"/>
        <v>75.6</v>
      </c>
      <c r="J38" s="6">
        <f t="shared" si="25"/>
        <v>108</v>
      </c>
      <c r="K38" s="6">
        <f t="shared" si="25"/>
        <v>148.5</v>
      </c>
      <c r="L38" s="6">
        <f t="shared" si="25"/>
        <v>178.2</v>
      </c>
      <c r="M38" s="6">
        <f t="shared" si="25"/>
        <v>210.6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34</v>
      </c>
      <c r="B39" s="6">
        <f t="shared" ref="B39:M39" si="26">B40+B41</f>
        <v>10.4</v>
      </c>
      <c r="C39" s="6">
        <f t="shared" si="26"/>
        <v>10.4</v>
      </c>
      <c r="D39" s="6">
        <f t="shared" si="26"/>
        <v>10.4</v>
      </c>
      <c r="E39" s="6">
        <f t="shared" si="26"/>
        <v>10.4</v>
      </c>
      <c r="F39" s="6">
        <f t="shared" si="26"/>
        <v>10.4</v>
      </c>
      <c r="G39" s="6">
        <f t="shared" si="26"/>
        <v>10.4</v>
      </c>
      <c r="H39" s="6">
        <f t="shared" si="26"/>
        <v>10.4</v>
      </c>
      <c r="I39" s="6">
        <f t="shared" si="26"/>
        <v>10.4</v>
      </c>
      <c r="J39" s="6">
        <f t="shared" si="26"/>
        <v>10.4</v>
      </c>
      <c r="K39" s="6">
        <f t="shared" si="26"/>
        <v>10.4</v>
      </c>
      <c r="L39" s="6">
        <f t="shared" si="26"/>
        <v>10.4</v>
      </c>
      <c r="M39" s="6">
        <f t="shared" si="26"/>
        <v>10.4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14</v>
      </c>
      <c r="B40" s="5">
        <f t="shared" ref="B40:M40" si="27">B17</f>
        <v>3.65</v>
      </c>
      <c r="C40" s="5">
        <f t="shared" si="27"/>
        <v>3.65</v>
      </c>
      <c r="D40" s="5">
        <f t="shared" si="27"/>
        <v>3.65</v>
      </c>
      <c r="E40" s="5">
        <f t="shared" si="27"/>
        <v>3.65</v>
      </c>
      <c r="F40" s="5">
        <f t="shared" si="27"/>
        <v>3.65</v>
      </c>
      <c r="G40" s="5">
        <f t="shared" si="27"/>
        <v>3.65</v>
      </c>
      <c r="H40" s="5">
        <f t="shared" si="27"/>
        <v>3.65</v>
      </c>
      <c r="I40" s="5">
        <f t="shared" si="27"/>
        <v>3.65</v>
      </c>
      <c r="J40" s="5">
        <f t="shared" si="27"/>
        <v>3.65</v>
      </c>
      <c r="K40" s="5">
        <f t="shared" si="27"/>
        <v>3.65</v>
      </c>
      <c r="L40" s="5">
        <f t="shared" si="27"/>
        <v>3.65</v>
      </c>
      <c r="M40" s="5">
        <f t="shared" si="27"/>
        <v>3.65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15</v>
      </c>
      <c r="B41" s="6">
        <f t="shared" ref="B41:M41" si="28">B18</f>
        <v>6.75</v>
      </c>
      <c r="C41" s="6">
        <f t="shared" si="28"/>
        <v>6.75</v>
      </c>
      <c r="D41" s="6">
        <f t="shared" si="28"/>
        <v>6.75</v>
      </c>
      <c r="E41" s="6">
        <f t="shared" si="28"/>
        <v>6.75</v>
      </c>
      <c r="F41" s="6">
        <f t="shared" si="28"/>
        <v>6.75</v>
      </c>
      <c r="G41" s="6">
        <f t="shared" si="28"/>
        <v>6.75</v>
      </c>
      <c r="H41" s="6">
        <f t="shared" si="28"/>
        <v>6.75</v>
      </c>
      <c r="I41" s="6">
        <f t="shared" si="28"/>
        <v>6.75</v>
      </c>
      <c r="J41" s="6">
        <f t="shared" si="28"/>
        <v>6.75</v>
      </c>
      <c r="K41" s="6">
        <f t="shared" si="28"/>
        <v>6.75</v>
      </c>
      <c r="L41" s="6">
        <f t="shared" si="28"/>
        <v>6.75</v>
      </c>
      <c r="M41" s="6">
        <f t="shared" si="28"/>
        <v>6.75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16</v>
      </c>
      <c r="B42" s="6">
        <f t="shared" ref="B42:M42" si="29">B19</f>
        <v>3</v>
      </c>
      <c r="C42" s="6">
        <f t="shared" si="29"/>
        <v>3</v>
      </c>
      <c r="D42" s="6">
        <f t="shared" si="29"/>
        <v>3</v>
      </c>
      <c r="E42" s="6">
        <f t="shared" si="29"/>
        <v>3</v>
      </c>
      <c r="F42" s="6">
        <f t="shared" si="29"/>
        <v>3</v>
      </c>
      <c r="G42" s="6">
        <f t="shared" si="29"/>
        <v>3</v>
      </c>
      <c r="H42" s="6">
        <f t="shared" si="29"/>
        <v>3</v>
      </c>
      <c r="I42" s="6">
        <f t="shared" si="29"/>
        <v>3</v>
      </c>
      <c r="J42" s="6">
        <f t="shared" si="29"/>
        <v>3</v>
      </c>
      <c r="K42" s="6">
        <f t="shared" si="29"/>
        <v>3</v>
      </c>
      <c r="L42" s="6">
        <f t="shared" si="29"/>
        <v>3</v>
      </c>
      <c r="M42" s="6">
        <f t="shared" si="29"/>
        <v>3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17</v>
      </c>
      <c r="B43" s="6">
        <f t="shared" ref="B43:M43" si="30">B20</f>
        <v>3.75</v>
      </c>
      <c r="C43" s="6">
        <f t="shared" si="30"/>
        <v>3.75</v>
      </c>
      <c r="D43" s="6">
        <f t="shared" si="30"/>
        <v>3.75</v>
      </c>
      <c r="E43" s="6">
        <f t="shared" si="30"/>
        <v>3.75</v>
      </c>
      <c r="F43" s="6">
        <f t="shared" si="30"/>
        <v>3.75</v>
      </c>
      <c r="G43" s="6">
        <f t="shared" si="30"/>
        <v>3.75</v>
      </c>
      <c r="H43" s="6">
        <f t="shared" si="30"/>
        <v>3.75</v>
      </c>
      <c r="I43" s="6">
        <f t="shared" si="30"/>
        <v>3.75</v>
      </c>
      <c r="J43" s="6">
        <f t="shared" si="30"/>
        <v>3.75</v>
      </c>
      <c r="K43" s="6">
        <f t="shared" si="30"/>
        <v>3.75</v>
      </c>
      <c r="L43" s="6">
        <f t="shared" si="30"/>
        <v>3.75</v>
      </c>
      <c r="M43" s="6">
        <f t="shared" si="30"/>
        <v>3.75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18</v>
      </c>
      <c r="B44" s="5">
        <f t="shared" ref="B44:M44" si="31">B21</f>
        <v>25</v>
      </c>
      <c r="C44" s="5">
        <f t="shared" si="31"/>
        <v>25</v>
      </c>
      <c r="D44" s="5">
        <f t="shared" si="31"/>
        <v>25</v>
      </c>
      <c r="E44" s="5">
        <f t="shared" si="31"/>
        <v>25</v>
      </c>
      <c r="F44" s="5">
        <f t="shared" si="31"/>
        <v>25</v>
      </c>
      <c r="G44" s="5">
        <f t="shared" si="31"/>
        <v>25</v>
      </c>
      <c r="H44" s="5">
        <f t="shared" si="31"/>
        <v>25</v>
      </c>
      <c r="I44" s="5">
        <f t="shared" si="31"/>
        <v>25</v>
      </c>
      <c r="J44" s="5">
        <f t="shared" si="31"/>
        <v>25</v>
      </c>
      <c r="K44" s="5">
        <f t="shared" si="31"/>
        <v>25</v>
      </c>
      <c r="L44" s="5">
        <f t="shared" si="31"/>
        <v>25</v>
      </c>
      <c r="M44" s="5">
        <f t="shared" si="31"/>
        <v>25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35</v>
      </c>
      <c r="B45" s="6">
        <f t="shared" ref="B45:M45" si="32">B44-B39</f>
        <v>14.6</v>
      </c>
      <c r="C45" s="6">
        <f t="shared" si="32"/>
        <v>14.6</v>
      </c>
      <c r="D45" s="6">
        <f t="shared" si="32"/>
        <v>14.6</v>
      </c>
      <c r="E45" s="6">
        <f t="shared" si="32"/>
        <v>14.6</v>
      </c>
      <c r="F45" s="6">
        <f t="shared" si="32"/>
        <v>14.6</v>
      </c>
      <c r="G45" s="6">
        <f t="shared" si="32"/>
        <v>14.6</v>
      </c>
      <c r="H45" s="6">
        <f t="shared" si="32"/>
        <v>14.6</v>
      </c>
      <c r="I45" s="6">
        <f t="shared" si="32"/>
        <v>14.6</v>
      </c>
      <c r="J45" s="6">
        <f t="shared" si="32"/>
        <v>14.6</v>
      </c>
      <c r="K45" s="6">
        <f t="shared" si="32"/>
        <v>14.6</v>
      </c>
      <c r="L45" s="6">
        <f t="shared" si="32"/>
        <v>14.6</v>
      </c>
      <c r="M45" s="6">
        <f t="shared" si="32"/>
        <v>14.6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22</v>
      </c>
      <c r="B46" s="6">
        <f t="shared" ref="B46:M46" si="33">B44*B37</f>
        <v>52.5</v>
      </c>
      <c r="C46" s="6">
        <f t="shared" si="33"/>
        <v>157.5</v>
      </c>
      <c r="D46" s="6">
        <f t="shared" si="33"/>
        <v>315</v>
      </c>
      <c r="E46" s="6">
        <f t="shared" si="33"/>
        <v>375</v>
      </c>
      <c r="F46" s="6">
        <f t="shared" si="33"/>
        <v>562.5</v>
      </c>
      <c r="G46" s="6">
        <f t="shared" si="33"/>
        <v>787.5</v>
      </c>
      <c r="H46" s="6">
        <f t="shared" si="33"/>
        <v>1260</v>
      </c>
      <c r="I46" s="6">
        <f t="shared" si="33"/>
        <v>1890</v>
      </c>
      <c r="J46" s="6">
        <f t="shared" si="33"/>
        <v>2700</v>
      </c>
      <c r="K46" s="6">
        <f t="shared" si="33"/>
        <v>3712.5</v>
      </c>
      <c r="L46" s="6">
        <f t="shared" si="33"/>
        <v>4455</v>
      </c>
      <c r="M46" s="6">
        <f t="shared" si="33"/>
        <v>5265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23</v>
      </c>
      <c r="B47" s="6">
        <f t="shared" ref="B47:M47" si="34">B37*(B44-B39)</f>
        <v>30.66</v>
      </c>
      <c r="C47" s="6">
        <f t="shared" si="34"/>
        <v>91.98</v>
      </c>
      <c r="D47" s="6">
        <f t="shared" si="34"/>
        <v>183.96</v>
      </c>
      <c r="E47" s="6">
        <f t="shared" si="34"/>
        <v>219</v>
      </c>
      <c r="F47" s="6">
        <f t="shared" si="34"/>
        <v>328.5</v>
      </c>
      <c r="G47" s="6">
        <f t="shared" si="34"/>
        <v>459.9</v>
      </c>
      <c r="H47" s="6">
        <f t="shared" si="34"/>
        <v>735.84</v>
      </c>
      <c r="I47" s="6">
        <f t="shared" si="34"/>
        <v>1103.76</v>
      </c>
      <c r="J47" s="6">
        <f t="shared" si="34"/>
        <v>1576.8</v>
      </c>
      <c r="K47" s="6">
        <f t="shared" si="34"/>
        <v>2168.1</v>
      </c>
      <c r="L47" s="6">
        <f t="shared" si="34"/>
        <v>2601.72</v>
      </c>
      <c r="M47" s="6">
        <f t="shared" si="34"/>
        <v>3074.76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36</v>
      </c>
      <c r="B48" s="6">
        <f t="shared" ref="B48:M48" si="35">B45*B37-3%</f>
        <v>30.63</v>
      </c>
      <c r="C48" s="6">
        <f t="shared" si="35"/>
        <v>91.95</v>
      </c>
      <c r="D48" s="6">
        <f t="shared" si="35"/>
        <v>183.93</v>
      </c>
      <c r="E48" s="6">
        <f t="shared" si="35"/>
        <v>218.97</v>
      </c>
      <c r="F48" s="6">
        <f t="shared" si="35"/>
        <v>328.47</v>
      </c>
      <c r="G48" s="6">
        <f t="shared" si="35"/>
        <v>459.87</v>
      </c>
      <c r="H48" s="6">
        <f t="shared" si="35"/>
        <v>735.81</v>
      </c>
      <c r="I48" s="6">
        <f t="shared" si="35"/>
        <v>1103.73</v>
      </c>
      <c r="J48" s="6">
        <f t="shared" si="35"/>
        <v>1576.77</v>
      </c>
      <c r="K48" s="6">
        <f t="shared" si="35"/>
        <v>2168.07</v>
      </c>
      <c r="L48" s="6">
        <f t="shared" si="35"/>
        <v>2601.69</v>
      </c>
      <c r="M48" s="6">
        <f t="shared" si="35"/>
        <v>3074.73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25</v>
      </c>
      <c r="B49" s="14"/>
      <c r="C49" s="14"/>
      <c r="D49" s="6">
        <v>0.3</v>
      </c>
      <c r="E49" s="6">
        <v>0.3</v>
      </c>
      <c r="F49" s="6">
        <v>0.3</v>
      </c>
      <c r="G49" s="6">
        <v>0.3</v>
      </c>
      <c r="H49" s="6">
        <v>0.3</v>
      </c>
      <c r="I49" s="6">
        <v>0.3</v>
      </c>
      <c r="J49" s="6">
        <v>0.3</v>
      </c>
      <c r="K49" s="6">
        <v>0.3</v>
      </c>
      <c r="L49" s="6">
        <v>0.3</v>
      </c>
      <c r="M49" s="6">
        <v>0.3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26</v>
      </c>
      <c r="B50" s="14"/>
      <c r="C50" s="14"/>
      <c r="D50" s="6">
        <f t="shared" ref="D50:M50" si="36">(D45*(1+D49))*B38</f>
        <v>39.858</v>
      </c>
      <c r="E50" s="6">
        <f t="shared" si="36"/>
        <v>119.574</v>
      </c>
      <c r="F50" s="6">
        <f t="shared" si="36"/>
        <v>239.148</v>
      </c>
      <c r="G50" s="6">
        <f t="shared" si="36"/>
        <v>284.7</v>
      </c>
      <c r="H50" s="6">
        <f t="shared" si="36"/>
        <v>427.05</v>
      </c>
      <c r="I50" s="6">
        <f t="shared" si="36"/>
        <v>597.87</v>
      </c>
      <c r="J50" s="6">
        <f t="shared" si="36"/>
        <v>956.592</v>
      </c>
      <c r="K50" s="6">
        <f t="shared" si="36"/>
        <v>1434.888</v>
      </c>
      <c r="L50" s="6">
        <f t="shared" si="36"/>
        <v>2049.84</v>
      </c>
      <c r="M50" s="6">
        <f t="shared" si="36"/>
        <v>2818.53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27</v>
      </c>
      <c r="B51" s="14"/>
      <c r="C51" s="14"/>
      <c r="D51" s="14"/>
      <c r="E51" s="14"/>
      <c r="F51" s="6">
        <v>0.2</v>
      </c>
      <c r="G51" s="6">
        <v>0.2</v>
      </c>
      <c r="H51" s="6">
        <v>0.2</v>
      </c>
      <c r="I51" s="6">
        <v>0.2</v>
      </c>
      <c r="J51" s="6">
        <v>0.2</v>
      </c>
      <c r="K51" s="6">
        <v>0.2</v>
      </c>
      <c r="L51" s="6">
        <v>0.2</v>
      </c>
      <c r="M51" s="6">
        <v>0.2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28</v>
      </c>
      <c r="B52" s="14"/>
      <c r="C52" s="14"/>
      <c r="D52" s="14"/>
      <c r="E52" s="14"/>
      <c r="F52" s="6">
        <f t="shared" ref="F52:M52" si="37">(F45*(1+F49+F51)*B38)</f>
        <v>45.99</v>
      </c>
      <c r="G52" s="6">
        <f t="shared" si="37"/>
        <v>137.97</v>
      </c>
      <c r="H52" s="6">
        <f t="shared" si="37"/>
        <v>275.94</v>
      </c>
      <c r="I52" s="6">
        <f t="shared" si="37"/>
        <v>328.5</v>
      </c>
      <c r="J52" s="6">
        <f t="shared" si="37"/>
        <v>492.75</v>
      </c>
      <c r="K52" s="6">
        <f t="shared" si="37"/>
        <v>689.85</v>
      </c>
      <c r="L52" s="6">
        <f t="shared" si="37"/>
        <v>1103.76</v>
      </c>
      <c r="M52" s="6">
        <f t="shared" si="37"/>
        <v>1655.64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29</v>
      </c>
      <c r="B53" s="16">
        <f t="shared" ref="B53:M53" si="38">(B52+B50)</f>
        <v>0</v>
      </c>
      <c r="C53" s="16">
        <f t="shared" si="38"/>
        <v>0</v>
      </c>
      <c r="D53" s="16">
        <f t="shared" si="38"/>
        <v>39.858</v>
      </c>
      <c r="E53" s="16">
        <f t="shared" si="38"/>
        <v>119.574</v>
      </c>
      <c r="F53" s="16">
        <f t="shared" si="38"/>
        <v>285.138</v>
      </c>
      <c r="G53" s="16">
        <f t="shared" si="38"/>
        <v>422.67</v>
      </c>
      <c r="H53" s="16">
        <f t="shared" si="38"/>
        <v>702.99</v>
      </c>
      <c r="I53" s="16">
        <f t="shared" si="38"/>
        <v>926.37</v>
      </c>
      <c r="J53" s="16">
        <f t="shared" si="38"/>
        <v>1449.342</v>
      </c>
      <c r="K53" s="16">
        <f t="shared" si="38"/>
        <v>2124.738</v>
      </c>
      <c r="L53" s="16">
        <f t="shared" si="38"/>
        <v>3153.6</v>
      </c>
      <c r="M53" s="16">
        <f t="shared" si="38"/>
        <v>4474.17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37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38</v>
      </c>
      <c r="B55" s="6">
        <f t="shared" ref="B55:M55" si="39">B8+B37</f>
        <v>44.1</v>
      </c>
      <c r="C55" s="6">
        <f t="shared" si="39"/>
        <v>69.3</v>
      </c>
      <c r="D55" s="6">
        <f t="shared" si="39"/>
        <v>96.6</v>
      </c>
      <c r="E55" s="6">
        <f t="shared" si="39"/>
        <v>90</v>
      </c>
      <c r="F55" s="6">
        <f t="shared" si="39"/>
        <v>112.5</v>
      </c>
      <c r="G55" s="6">
        <f t="shared" si="39"/>
        <v>136.5</v>
      </c>
      <c r="H55" s="6">
        <f t="shared" si="39"/>
        <v>194.4</v>
      </c>
      <c r="I55" s="6">
        <f t="shared" si="39"/>
        <v>264.6</v>
      </c>
      <c r="J55" s="6">
        <f t="shared" si="39"/>
        <v>348</v>
      </c>
      <c r="K55" s="6">
        <f t="shared" si="39"/>
        <v>445.5</v>
      </c>
      <c r="L55" s="6">
        <f t="shared" si="39"/>
        <v>502.2</v>
      </c>
      <c r="M55" s="6">
        <f t="shared" si="39"/>
        <v>561.6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 t="s">
        <v>23</v>
      </c>
      <c r="B56" s="20">
        <f t="shared" ref="B56:M56" si="40">B26+B47</f>
        <v>643.86</v>
      </c>
      <c r="C56" s="20">
        <f t="shared" si="40"/>
        <v>1011.78</v>
      </c>
      <c r="D56" s="20">
        <f t="shared" si="40"/>
        <v>1410.36</v>
      </c>
      <c r="E56" s="20">
        <f t="shared" si="40"/>
        <v>1314</v>
      </c>
      <c r="F56" s="20">
        <f t="shared" si="40"/>
        <v>1642.5</v>
      </c>
      <c r="G56" s="20">
        <f t="shared" si="40"/>
        <v>1992.9</v>
      </c>
      <c r="H56" s="20">
        <f t="shared" si="40"/>
        <v>2838.24</v>
      </c>
      <c r="I56" s="20">
        <f t="shared" si="40"/>
        <v>3863.16</v>
      </c>
      <c r="J56" s="20">
        <f t="shared" si="40"/>
        <v>5080.8</v>
      </c>
      <c r="K56" s="20">
        <f t="shared" si="40"/>
        <v>6504.3</v>
      </c>
      <c r="L56" s="20">
        <f t="shared" si="40"/>
        <v>7332.12</v>
      </c>
      <c r="M56" s="20">
        <f t="shared" si="40"/>
        <v>8199.36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1" t="s">
        <v>39</v>
      </c>
      <c r="B57" s="6">
        <f t="shared" ref="B57:M57" si="41">B27+B48</f>
        <v>-2356.17</v>
      </c>
      <c r="C57" s="6">
        <f t="shared" si="41"/>
        <v>-1988.25</v>
      </c>
      <c r="D57" s="6">
        <f t="shared" si="41"/>
        <v>-1589.67</v>
      </c>
      <c r="E57" s="6">
        <f t="shared" si="41"/>
        <v>-1686.03</v>
      </c>
      <c r="F57" s="6">
        <f t="shared" si="41"/>
        <v>-1357.53</v>
      </c>
      <c r="G57" s="6">
        <f t="shared" si="41"/>
        <v>-1262.61</v>
      </c>
      <c r="H57" s="6">
        <f t="shared" si="41"/>
        <v>-906.27</v>
      </c>
      <c r="I57" s="6">
        <f t="shared" si="41"/>
        <v>-376.35</v>
      </c>
      <c r="J57" s="6">
        <f t="shared" si="41"/>
        <v>40.29</v>
      </c>
      <c r="K57" s="6">
        <f t="shared" si="41"/>
        <v>926.79</v>
      </c>
      <c r="L57" s="6">
        <f t="shared" si="41"/>
        <v>887.61</v>
      </c>
      <c r="M57" s="6">
        <f t="shared" si="41"/>
        <v>47.85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22</v>
      </c>
      <c r="B58" s="6">
        <f t="shared" ref="B58:M58" si="42">B46+B25</f>
        <v>1102.5</v>
      </c>
      <c r="C58" s="6">
        <f t="shared" si="42"/>
        <v>1732.5</v>
      </c>
      <c r="D58" s="6">
        <f t="shared" si="42"/>
        <v>2415</v>
      </c>
      <c r="E58" s="6">
        <f t="shared" si="42"/>
        <v>2250</v>
      </c>
      <c r="F58" s="6">
        <f t="shared" si="42"/>
        <v>2812.5</v>
      </c>
      <c r="G58" s="6">
        <f t="shared" si="42"/>
        <v>3412.5</v>
      </c>
      <c r="H58" s="6">
        <f t="shared" si="42"/>
        <v>4860</v>
      </c>
      <c r="I58" s="6">
        <f t="shared" si="42"/>
        <v>6615</v>
      </c>
      <c r="J58" s="6">
        <f t="shared" si="42"/>
        <v>8700</v>
      </c>
      <c r="K58" s="6">
        <f t="shared" si="42"/>
        <v>11137.5</v>
      </c>
      <c r="L58" s="6">
        <f t="shared" si="42"/>
        <v>12555</v>
      </c>
      <c r="M58" s="6">
        <f t="shared" si="42"/>
        <v>14040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40</v>
      </c>
      <c r="B59" s="6">
        <f t="shared" ref="B59:M59" si="43">B12/B58</f>
        <v>2.721088435</v>
      </c>
      <c r="C59" s="6">
        <f t="shared" si="43"/>
        <v>1.731601732</v>
      </c>
      <c r="D59" s="6">
        <f t="shared" si="43"/>
        <v>1.242236025</v>
      </c>
      <c r="E59" s="6">
        <f t="shared" si="43"/>
        <v>1.333333333</v>
      </c>
      <c r="F59" s="6">
        <f t="shared" si="43"/>
        <v>1.066666667</v>
      </c>
      <c r="G59" s="6">
        <f t="shared" si="43"/>
        <v>0.9539868132</v>
      </c>
      <c r="H59" s="6">
        <f t="shared" si="43"/>
        <v>0.7704691358</v>
      </c>
      <c r="I59" s="6">
        <f t="shared" si="43"/>
        <v>0.6408888889</v>
      </c>
      <c r="J59" s="6">
        <f t="shared" si="43"/>
        <v>0.5793655172</v>
      </c>
      <c r="K59" s="6">
        <f t="shared" si="43"/>
        <v>0.5007838384</v>
      </c>
      <c r="L59" s="6">
        <f t="shared" si="43"/>
        <v>0.5132998805</v>
      </c>
      <c r="M59" s="6">
        <f t="shared" si="43"/>
        <v>0.5805897436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26</v>
      </c>
      <c r="B60" s="6">
        <f t="shared" ref="B60:M60" si="44">B31+B50</f>
        <v>0</v>
      </c>
      <c r="C60" s="6">
        <f t="shared" si="44"/>
        <v>0</v>
      </c>
      <c r="D60" s="6">
        <f t="shared" si="44"/>
        <v>745.038</v>
      </c>
      <c r="E60" s="6">
        <f t="shared" si="44"/>
        <v>1177.344</v>
      </c>
      <c r="F60" s="6">
        <f t="shared" si="44"/>
        <v>1649.508</v>
      </c>
      <c r="G60" s="6">
        <f t="shared" si="44"/>
        <v>1543.95</v>
      </c>
      <c r="H60" s="6">
        <f t="shared" si="44"/>
        <v>1938.15</v>
      </c>
      <c r="I60" s="6">
        <f t="shared" si="44"/>
        <v>2360.82</v>
      </c>
      <c r="J60" s="6">
        <f t="shared" si="44"/>
        <v>3374.352</v>
      </c>
      <c r="K60" s="6">
        <f t="shared" si="44"/>
        <v>4608.198</v>
      </c>
      <c r="L60" s="6">
        <f t="shared" si="44"/>
        <v>6079.44</v>
      </c>
      <c r="M60" s="6">
        <f t="shared" si="44"/>
        <v>7805.16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28</v>
      </c>
      <c r="B61" s="6">
        <f t="shared" ref="B61:M61" si="45">B33+B52</f>
        <v>0</v>
      </c>
      <c r="C61" s="6">
        <f t="shared" si="45"/>
        <v>0</v>
      </c>
      <c r="D61" s="6">
        <f t="shared" si="45"/>
        <v>0</v>
      </c>
      <c r="E61" s="6">
        <f t="shared" si="45"/>
        <v>0</v>
      </c>
      <c r="F61" s="6">
        <f t="shared" si="45"/>
        <v>490.1484</v>
      </c>
      <c r="G61" s="6">
        <f t="shared" si="45"/>
        <v>804.2076</v>
      </c>
      <c r="H61" s="6">
        <f t="shared" si="45"/>
        <v>1164.2568</v>
      </c>
      <c r="I61" s="6">
        <f t="shared" si="45"/>
        <v>1121.64</v>
      </c>
      <c r="J61" s="6">
        <f t="shared" si="45"/>
        <v>1444.518</v>
      </c>
      <c r="K61" s="6">
        <f t="shared" si="45"/>
        <v>1800.246</v>
      </c>
      <c r="L61" s="6">
        <f t="shared" si="45"/>
        <v>2626.5888</v>
      </c>
      <c r="M61" s="6">
        <f t="shared" si="45"/>
        <v>3654.3528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29</v>
      </c>
      <c r="B62" s="6">
        <f t="shared" ref="B62:M62" si="46">B53+B34</f>
        <v>-3000</v>
      </c>
      <c r="C62" s="6">
        <f t="shared" si="46"/>
        <v>-3000</v>
      </c>
      <c r="D62" s="6">
        <f t="shared" si="46"/>
        <v>-2254.962</v>
      </c>
      <c r="E62" s="6">
        <f t="shared" si="46"/>
        <v>-1822.656</v>
      </c>
      <c r="F62" s="6">
        <f t="shared" si="46"/>
        <v>-860.3436</v>
      </c>
      <c r="G62" s="6">
        <f t="shared" si="46"/>
        <v>-907.3224</v>
      </c>
      <c r="H62" s="6">
        <f t="shared" si="46"/>
        <v>-642.0732</v>
      </c>
      <c r="I62" s="6">
        <f t="shared" si="46"/>
        <v>-757.02</v>
      </c>
      <c r="J62" s="6">
        <f t="shared" si="46"/>
        <v>-221.61</v>
      </c>
      <c r="K62" s="6">
        <f t="shared" si="46"/>
        <v>830.964</v>
      </c>
      <c r="L62" s="6">
        <f t="shared" si="46"/>
        <v>2261.5488</v>
      </c>
      <c r="M62" s="6">
        <f t="shared" si="46"/>
        <v>3308.0328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41</v>
      </c>
      <c r="B63" s="6">
        <f t="shared" ref="B63:M63" si="47">B62+B57</f>
        <v>-5356.17</v>
      </c>
      <c r="C63" s="6">
        <f t="shared" si="47"/>
        <v>-4988.25</v>
      </c>
      <c r="D63" s="6">
        <f t="shared" si="47"/>
        <v>-3844.632</v>
      </c>
      <c r="E63" s="6">
        <f t="shared" si="47"/>
        <v>-3508.686</v>
      </c>
      <c r="F63" s="6">
        <f t="shared" si="47"/>
        <v>-2217.8736</v>
      </c>
      <c r="G63" s="6">
        <f t="shared" si="47"/>
        <v>-2169.9324</v>
      </c>
      <c r="H63" s="6">
        <f t="shared" si="47"/>
        <v>-1548.3432</v>
      </c>
      <c r="I63" s="6">
        <f t="shared" si="47"/>
        <v>-1133.37</v>
      </c>
      <c r="J63" s="6">
        <f t="shared" si="47"/>
        <v>-181.32</v>
      </c>
      <c r="K63" s="6">
        <f t="shared" si="47"/>
        <v>1757.754</v>
      </c>
      <c r="L63" s="6">
        <f t="shared" si="47"/>
        <v>3149.1588</v>
      </c>
      <c r="M63" s="6">
        <f t="shared" si="47"/>
        <v>3355.8828</v>
      </c>
      <c r="N63" s="32">
        <f>SUM(B63:M63)</f>
        <v>-16685.7816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mergeCells count="3">
    <mergeCell ref="A1:M1"/>
    <mergeCell ref="A35:M35"/>
    <mergeCell ref="A54:M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</v>
      </c>
      <c r="B3" s="8">
        <v>15.0</v>
      </c>
      <c r="C3" s="5">
        <f t="shared" ref="C3:M3" si="1">B3+10</f>
        <v>25</v>
      </c>
      <c r="D3" s="5">
        <f t="shared" si="1"/>
        <v>35</v>
      </c>
      <c r="E3" s="5">
        <f t="shared" si="1"/>
        <v>45</v>
      </c>
      <c r="F3" s="5">
        <f t="shared" si="1"/>
        <v>55</v>
      </c>
      <c r="G3" s="5">
        <f t="shared" si="1"/>
        <v>65</v>
      </c>
      <c r="H3" s="5">
        <f t="shared" si="1"/>
        <v>75</v>
      </c>
      <c r="I3" s="5">
        <f t="shared" si="1"/>
        <v>85</v>
      </c>
      <c r="J3" s="5">
        <f t="shared" si="1"/>
        <v>95</v>
      </c>
      <c r="K3" s="5">
        <f t="shared" si="1"/>
        <v>105</v>
      </c>
      <c r="L3" s="5">
        <f t="shared" si="1"/>
        <v>115</v>
      </c>
      <c r="M3" s="5">
        <f t="shared" si="1"/>
        <v>125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5">
        <f t="shared" ref="B5:M5" si="2">B3*B4</f>
        <v>450</v>
      </c>
      <c r="C5" s="5">
        <f t="shared" si="2"/>
        <v>750</v>
      </c>
      <c r="D5" s="5">
        <f t="shared" si="2"/>
        <v>1050</v>
      </c>
      <c r="E5" s="5">
        <f t="shared" si="2"/>
        <v>1350</v>
      </c>
      <c r="F5" s="5">
        <f t="shared" si="2"/>
        <v>1650</v>
      </c>
      <c r="G5" s="5">
        <f t="shared" si="2"/>
        <v>1950</v>
      </c>
      <c r="H5" s="5">
        <f t="shared" si="2"/>
        <v>2250</v>
      </c>
      <c r="I5" s="5">
        <f t="shared" si="2"/>
        <v>2550</v>
      </c>
      <c r="J5" s="5">
        <f t="shared" si="2"/>
        <v>2850</v>
      </c>
      <c r="K5" s="5">
        <f t="shared" si="2"/>
        <v>3150</v>
      </c>
      <c r="L5" s="5">
        <f t="shared" si="2"/>
        <v>3450</v>
      </c>
      <c r="M5" s="5">
        <f t="shared" si="2"/>
        <v>3750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</v>
      </c>
      <c r="B6" s="8">
        <v>1.5</v>
      </c>
      <c r="C6" s="8">
        <v>1.5</v>
      </c>
      <c r="D6" s="8">
        <v>1.5</v>
      </c>
      <c r="E6" s="8">
        <v>1.5</v>
      </c>
      <c r="F6" s="8">
        <v>1.5</v>
      </c>
      <c r="G6" s="8">
        <v>1.5</v>
      </c>
      <c r="H6" s="8">
        <v>1.5</v>
      </c>
      <c r="I6" s="8">
        <v>1.5</v>
      </c>
      <c r="J6" s="8">
        <v>1.5</v>
      </c>
      <c r="K6" s="8">
        <v>1.5</v>
      </c>
      <c r="L6" s="8">
        <v>1.5</v>
      </c>
      <c r="M6" s="8">
        <v>1.5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6</v>
      </c>
      <c r="B7" s="5">
        <v>5.0</v>
      </c>
      <c r="C7" s="8">
        <v>7.0</v>
      </c>
      <c r="D7" s="8">
        <v>9.0</v>
      </c>
      <c r="E7" s="8">
        <v>11.0</v>
      </c>
      <c r="F7" s="8">
        <v>12.0</v>
      </c>
      <c r="G7" s="8">
        <v>13.0</v>
      </c>
      <c r="H7" s="8">
        <v>13.0</v>
      </c>
      <c r="I7" s="8">
        <v>14.0</v>
      </c>
      <c r="J7" s="8">
        <v>14.0</v>
      </c>
      <c r="K7" s="8">
        <v>15.0</v>
      </c>
      <c r="L7" s="5">
        <v>15.0</v>
      </c>
      <c r="M7" s="5">
        <v>15.0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6">
        <f t="shared" ref="B8:M8" si="3">B5*B7/100</f>
        <v>22.5</v>
      </c>
      <c r="C8" s="6">
        <f t="shared" si="3"/>
        <v>52.5</v>
      </c>
      <c r="D8" s="6">
        <f t="shared" si="3"/>
        <v>94.5</v>
      </c>
      <c r="E8" s="6">
        <f t="shared" si="3"/>
        <v>148.5</v>
      </c>
      <c r="F8" s="6">
        <f t="shared" si="3"/>
        <v>198</v>
      </c>
      <c r="G8" s="6">
        <f t="shared" si="3"/>
        <v>253.5</v>
      </c>
      <c r="H8" s="6">
        <f t="shared" si="3"/>
        <v>292.5</v>
      </c>
      <c r="I8" s="6">
        <f t="shared" si="3"/>
        <v>357</v>
      </c>
      <c r="J8" s="6">
        <f t="shared" si="3"/>
        <v>399</v>
      </c>
      <c r="K8" s="6">
        <f t="shared" si="3"/>
        <v>472.5</v>
      </c>
      <c r="L8" s="6">
        <f t="shared" si="3"/>
        <v>517.5</v>
      </c>
      <c r="M8" s="6">
        <f t="shared" si="3"/>
        <v>562.5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6">
        <f t="shared" ref="B9:M9" si="4">B8</f>
        <v>22.5</v>
      </c>
      <c r="C9" s="6">
        <f t="shared" si="4"/>
        <v>52.5</v>
      </c>
      <c r="D9" s="6">
        <f t="shared" si="4"/>
        <v>94.5</v>
      </c>
      <c r="E9" s="6">
        <f t="shared" si="4"/>
        <v>148.5</v>
      </c>
      <c r="F9" s="6">
        <f t="shared" si="4"/>
        <v>198</v>
      </c>
      <c r="G9" s="6">
        <f t="shared" si="4"/>
        <v>253.5</v>
      </c>
      <c r="H9" s="6">
        <f t="shared" si="4"/>
        <v>292.5</v>
      </c>
      <c r="I9" s="6">
        <f t="shared" si="4"/>
        <v>357</v>
      </c>
      <c r="J9" s="6">
        <f t="shared" si="4"/>
        <v>399</v>
      </c>
      <c r="K9" s="6">
        <f t="shared" si="4"/>
        <v>472.5</v>
      </c>
      <c r="L9" s="6">
        <f t="shared" si="4"/>
        <v>517.5</v>
      </c>
      <c r="M9" s="6">
        <f t="shared" si="4"/>
        <v>562.5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9</v>
      </c>
      <c r="B10" s="8">
        <v>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47</v>
      </c>
      <c r="B11" s="11">
        <f t="shared" ref="B11:M11" si="5">(0.6+B20*0.05*B8)*0.8</f>
        <v>17.58</v>
      </c>
      <c r="C11" s="11">
        <f t="shared" si="5"/>
        <v>40.38</v>
      </c>
      <c r="D11" s="11">
        <f t="shared" si="5"/>
        <v>72.3</v>
      </c>
      <c r="E11" s="11">
        <f t="shared" si="5"/>
        <v>113.34</v>
      </c>
      <c r="F11" s="11">
        <f t="shared" si="5"/>
        <v>150.96</v>
      </c>
      <c r="G11" s="11">
        <f t="shared" si="5"/>
        <v>193.14</v>
      </c>
      <c r="H11" s="11">
        <f t="shared" si="5"/>
        <v>222.78</v>
      </c>
      <c r="I11" s="11">
        <f t="shared" si="5"/>
        <v>271.8</v>
      </c>
      <c r="J11" s="11">
        <f t="shared" si="5"/>
        <v>303.72</v>
      </c>
      <c r="K11" s="11">
        <f t="shared" si="5"/>
        <v>359.58</v>
      </c>
      <c r="L11" s="11">
        <f t="shared" si="5"/>
        <v>393.78</v>
      </c>
      <c r="M11" s="11">
        <f t="shared" si="5"/>
        <v>427.98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11</v>
      </c>
      <c r="B12" s="11">
        <f t="shared" ref="B12:M12" si="6">B5*B6+B10+B11</f>
        <v>892.58</v>
      </c>
      <c r="C12" s="11">
        <f t="shared" si="6"/>
        <v>1165.38</v>
      </c>
      <c r="D12" s="11">
        <f t="shared" si="6"/>
        <v>1647.3</v>
      </c>
      <c r="E12" s="11">
        <f t="shared" si="6"/>
        <v>2138.34</v>
      </c>
      <c r="F12" s="11">
        <f t="shared" si="6"/>
        <v>2625.96</v>
      </c>
      <c r="G12" s="11">
        <f t="shared" si="6"/>
        <v>3118.14</v>
      </c>
      <c r="H12" s="11">
        <f t="shared" si="6"/>
        <v>3597.78</v>
      </c>
      <c r="I12" s="11">
        <f t="shared" si="6"/>
        <v>4096.8</v>
      </c>
      <c r="J12" s="11">
        <f t="shared" si="6"/>
        <v>4578.72</v>
      </c>
      <c r="K12" s="11">
        <f t="shared" si="6"/>
        <v>5084.58</v>
      </c>
      <c r="L12" s="11">
        <f t="shared" si="6"/>
        <v>5568.78</v>
      </c>
      <c r="M12" s="11">
        <f t="shared" si="6"/>
        <v>6052.98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44</v>
      </c>
      <c r="B13" s="6">
        <f t="shared" ref="B13:M13" si="7">B12/B4</f>
        <v>29.75266667</v>
      </c>
      <c r="C13" s="6">
        <f t="shared" si="7"/>
        <v>38.846</v>
      </c>
      <c r="D13" s="6">
        <f t="shared" si="7"/>
        <v>54.91</v>
      </c>
      <c r="E13" s="6">
        <f t="shared" si="7"/>
        <v>71.278</v>
      </c>
      <c r="F13" s="6">
        <f t="shared" si="7"/>
        <v>87.532</v>
      </c>
      <c r="G13" s="6">
        <f t="shared" si="7"/>
        <v>103.938</v>
      </c>
      <c r="H13" s="6">
        <f t="shared" si="7"/>
        <v>119.926</v>
      </c>
      <c r="I13" s="6">
        <f t="shared" si="7"/>
        <v>136.56</v>
      </c>
      <c r="J13" s="6">
        <f t="shared" si="7"/>
        <v>152.624</v>
      </c>
      <c r="K13" s="6">
        <f t="shared" si="7"/>
        <v>169.486</v>
      </c>
      <c r="L13" s="6">
        <f t="shared" si="7"/>
        <v>185.626</v>
      </c>
      <c r="M13" s="6">
        <f t="shared" si="7"/>
        <v>201.766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12</v>
      </c>
      <c r="B14" s="6">
        <f t="shared" ref="B14:M14" si="8">B12/B9</f>
        <v>39.67022222</v>
      </c>
      <c r="C14" s="6">
        <f t="shared" si="8"/>
        <v>22.19771429</v>
      </c>
      <c r="D14" s="6">
        <f t="shared" si="8"/>
        <v>17.43174603</v>
      </c>
      <c r="E14" s="6">
        <f t="shared" si="8"/>
        <v>14.39959596</v>
      </c>
      <c r="F14" s="6">
        <f t="shared" si="8"/>
        <v>13.26242424</v>
      </c>
      <c r="G14" s="6">
        <f t="shared" si="8"/>
        <v>12.30035503</v>
      </c>
      <c r="H14" s="6">
        <f t="shared" si="8"/>
        <v>12.30010256</v>
      </c>
      <c r="I14" s="6">
        <f t="shared" si="8"/>
        <v>11.47563025</v>
      </c>
      <c r="J14" s="6">
        <f t="shared" si="8"/>
        <v>11.47548872</v>
      </c>
      <c r="K14" s="6">
        <f t="shared" si="8"/>
        <v>10.76101587</v>
      </c>
      <c r="L14" s="6">
        <f t="shared" si="8"/>
        <v>10.76092754</v>
      </c>
      <c r="M14" s="6">
        <f t="shared" si="8"/>
        <v>10.76085333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13</v>
      </c>
      <c r="B15" s="6">
        <f t="shared" ref="B15:M15" si="9">B16+B17</f>
        <v>11.69</v>
      </c>
      <c r="C15" s="6">
        <f t="shared" si="9"/>
        <v>11.69</v>
      </c>
      <c r="D15" s="6">
        <f t="shared" si="9"/>
        <v>11.69</v>
      </c>
      <c r="E15" s="6">
        <f t="shared" si="9"/>
        <v>11.69</v>
      </c>
      <c r="F15" s="6">
        <f t="shared" si="9"/>
        <v>11.69</v>
      </c>
      <c r="G15" s="6">
        <f t="shared" si="9"/>
        <v>11.69</v>
      </c>
      <c r="H15" s="6">
        <f t="shared" si="9"/>
        <v>11.69</v>
      </c>
      <c r="I15" s="6">
        <f t="shared" si="9"/>
        <v>11.69</v>
      </c>
      <c r="J15" s="6">
        <f t="shared" si="9"/>
        <v>11.69</v>
      </c>
      <c r="K15" s="6">
        <f t="shared" si="9"/>
        <v>11.69</v>
      </c>
      <c r="L15" s="6">
        <f t="shared" si="9"/>
        <v>11.69</v>
      </c>
      <c r="M15" s="6">
        <f t="shared" si="9"/>
        <v>11.69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14</v>
      </c>
      <c r="B16" s="8">
        <v>5.84</v>
      </c>
      <c r="C16" s="8">
        <v>5.84</v>
      </c>
      <c r="D16" s="8">
        <v>5.84</v>
      </c>
      <c r="E16" s="8">
        <v>5.84</v>
      </c>
      <c r="F16" s="8">
        <v>5.84</v>
      </c>
      <c r="G16" s="8">
        <v>5.84</v>
      </c>
      <c r="H16" s="8">
        <v>5.84</v>
      </c>
      <c r="I16" s="8">
        <v>5.84</v>
      </c>
      <c r="J16" s="8">
        <v>5.84</v>
      </c>
      <c r="K16" s="8">
        <v>5.84</v>
      </c>
      <c r="L16" s="8">
        <v>5.84</v>
      </c>
      <c r="M16" s="8">
        <v>5.84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15</v>
      </c>
      <c r="B17" s="6">
        <f t="shared" ref="B17:M17" si="10">B18+B19</f>
        <v>5.85</v>
      </c>
      <c r="C17" s="6">
        <f t="shared" si="10"/>
        <v>5.85</v>
      </c>
      <c r="D17" s="6">
        <f t="shared" si="10"/>
        <v>5.85</v>
      </c>
      <c r="E17" s="6">
        <f t="shared" si="10"/>
        <v>5.85</v>
      </c>
      <c r="F17" s="6">
        <f t="shared" si="10"/>
        <v>5.85</v>
      </c>
      <c r="G17" s="6">
        <f t="shared" si="10"/>
        <v>5.85</v>
      </c>
      <c r="H17" s="6">
        <f t="shared" si="10"/>
        <v>5.85</v>
      </c>
      <c r="I17" s="6">
        <f t="shared" si="10"/>
        <v>5.85</v>
      </c>
      <c r="J17" s="6">
        <f t="shared" si="10"/>
        <v>5.85</v>
      </c>
      <c r="K17" s="6">
        <f t="shared" si="10"/>
        <v>5.85</v>
      </c>
      <c r="L17" s="6">
        <f t="shared" si="10"/>
        <v>5.85</v>
      </c>
      <c r="M17" s="6">
        <f t="shared" si="10"/>
        <v>5.85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16</v>
      </c>
      <c r="B18" s="6">
        <v>3.0</v>
      </c>
      <c r="C18" s="6">
        <v>3.0</v>
      </c>
      <c r="D18" s="6">
        <v>3.0</v>
      </c>
      <c r="E18" s="6">
        <v>3.0</v>
      </c>
      <c r="F18" s="6">
        <v>3.0</v>
      </c>
      <c r="G18" s="6">
        <v>3.0</v>
      </c>
      <c r="H18" s="6">
        <v>3.0</v>
      </c>
      <c r="I18" s="6">
        <v>3.0</v>
      </c>
      <c r="J18" s="6">
        <v>3.0</v>
      </c>
      <c r="K18" s="6">
        <v>3.0</v>
      </c>
      <c r="L18" s="6">
        <v>3.0</v>
      </c>
      <c r="M18" s="6">
        <v>3.0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17</v>
      </c>
      <c r="B19" s="6">
        <f t="shared" ref="B19:M19" si="11">B20*0.15</f>
        <v>2.85</v>
      </c>
      <c r="C19" s="6">
        <f t="shared" si="11"/>
        <v>2.85</v>
      </c>
      <c r="D19" s="6">
        <f t="shared" si="11"/>
        <v>2.85</v>
      </c>
      <c r="E19" s="6">
        <f t="shared" si="11"/>
        <v>2.85</v>
      </c>
      <c r="F19" s="6">
        <f t="shared" si="11"/>
        <v>2.85</v>
      </c>
      <c r="G19" s="6">
        <f t="shared" si="11"/>
        <v>2.85</v>
      </c>
      <c r="H19" s="6">
        <f t="shared" si="11"/>
        <v>2.85</v>
      </c>
      <c r="I19" s="6">
        <f t="shared" si="11"/>
        <v>2.85</v>
      </c>
      <c r="J19" s="6">
        <f t="shared" si="11"/>
        <v>2.85</v>
      </c>
      <c r="K19" s="6">
        <f t="shared" si="11"/>
        <v>2.85</v>
      </c>
      <c r="L19" s="6">
        <f t="shared" si="11"/>
        <v>2.85</v>
      </c>
      <c r="M19" s="6">
        <f t="shared" si="11"/>
        <v>2.85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 t="s">
        <v>18</v>
      </c>
      <c r="B20" s="23">
        <v>19.0</v>
      </c>
      <c r="C20" s="23">
        <v>19.0</v>
      </c>
      <c r="D20" s="23">
        <v>19.0</v>
      </c>
      <c r="E20" s="23">
        <v>19.0</v>
      </c>
      <c r="F20" s="23">
        <v>19.0</v>
      </c>
      <c r="G20" s="23">
        <v>19.0</v>
      </c>
      <c r="H20" s="23">
        <v>19.0</v>
      </c>
      <c r="I20" s="23">
        <v>19.0</v>
      </c>
      <c r="J20" s="23">
        <v>19.0</v>
      </c>
      <c r="K20" s="23">
        <v>19.0</v>
      </c>
      <c r="L20" s="23">
        <v>19.0</v>
      </c>
      <c r="M20" s="23">
        <v>19.0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19</v>
      </c>
      <c r="B21" s="6">
        <f t="shared" ref="B21:M21" si="12">B20-B15-B14</f>
        <v>-32.36022222</v>
      </c>
      <c r="C21" s="6">
        <f t="shared" si="12"/>
        <v>-14.88771429</v>
      </c>
      <c r="D21" s="6">
        <f t="shared" si="12"/>
        <v>-10.12174603</v>
      </c>
      <c r="E21" s="6">
        <f t="shared" si="12"/>
        <v>-7.08959596</v>
      </c>
      <c r="F21" s="6">
        <f t="shared" si="12"/>
        <v>-5.952424242</v>
      </c>
      <c r="G21" s="6">
        <f t="shared" si="12"/>
        <v>-4.99035503</v>
      </c>
      <c r="H21" s="6">
        <f t="shared" si="12"/>
        <v>-4.990102564</v>
      </c>
      <c r="I21" s="6">
        <f t="shared" si="12"/>
        <v>-4.165630252</v>
      </c>
      <c r="J21" s="6">
        <f t="shared" si="12"/>
        <v>-4.165488722</v>
      </c>
      <c r="K21" s="6">
        <f t="shared" si="12"/>
        <v>-3.451015873</v>
      </c>
      <c r="L21" s="6">
        <f t="shared" si="12"/>
        <v>-3.450927536</v>
      </c>
      <c r="M21" s="6">
        <f t="shared" si="12"/>
        <v>-3.450853333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20</v>
      </c>
      <c r="B22" s="6">
        <f t="shared" ref="B22:M22" si="13">B20-B15</f>
        <v>7.31</v>
      </c>
      <c r="C22" s="6">
        <f t="shared" si="13"/>
        <v>7.31</v>
      </c>
      <c r="D22" s="6">
        <f t="shared" si="13"/>
        <v>7.31</v>
      </c>
      <c r="E22" s="6">
        <f t="shared" si="13"/>
        <v>7.31</v>
      </c>
      <c r="F22" s="6">
        <f t="shared" si="13"/>
        <v>7.31</v>
      </c>
      <c r="G22" s="6">
        <f t="shared" si="13"/>
        <v>7.31</v>
      </c>
      <c r="H22" s="6">
        <f t="shared" si="13"/>
        <v>7.31</v>
      </c>
      <c r="I22" s="6">
        <f t="shared" si="13"/>
        <v>7.31</v>
      </c>
      <c r="J22" s="6">
        <f t="shared" si="13"/>
        <v>7.31</v>
      </c>
      <c r="K22" s="6">
        <f t="shared" si="13"/>
        <v>7.31</v>
      </c>
      <c r="L22" s="6">
        <f t="shared" si="13"/>
        <v>7.31</v>
      </c>
      <c r="M22" s="6">
        <f t="shared" si="13"/>
        <v>7.31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21</v>
      </c>
      <c r="B23" s="6">
        <f t="shared" ref="B23:M23" si="14">B24/B12</f>
        <v>0.4789486657</v>
      </c>
      <c r="C23" s="6">
        <f t="shared" si="14"/>
        <v>0.8559439839</v>
      </c>
      <c r="D23" s="6">
        <f t="shared" si="14"/>
        <v>1.089965398</v>
      </c>
      <c r="E23" s="6">
        <f t="shared" si="14"/>
        <v>1.319481467</v>
      </c>
      <c r="F23" s="6">
        <f t="shared" si="14"/>
        <v>1.432618928</v>
      </c>
      <c r="G23" s="6">
        <f t="shared" si="14"/>
        <v>1.544670861</v>
      </c>
      <c r="H23" s="6">
        <f t="shared" si="14"/>
        <v>1.544702567</v>
      </c>
      <c r="I23" s="6">
        <f t="shared" si="14"/>
        <v>1.655682484</v>
      </c>
      <c r="J23" s="6">
        <f t="shared" si="14"/>
        <v>1.655702904</v>
      </c>
      <c r="K23" s="6">
        <f t="shared" si="14"/>
        <v>1.76563256</v>
      </c>
      <c r="L23" s="6">
        <f t="shared" si="14"/>
        <v>1.765647054</v>
      </c>
      <c r="M23" s="6">
        <f t="shared" si="14"/>
        <v>1.765659229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22</v>
      </c>
      <c r="B24" s="6">
        <f t="shared" ref="B24:M24" si="15">B8*B20</f>
        <v>427.5</v>
      </c>
      <c r="C24" s="6">
        <f t="shared" si="15"/>
        <v>997.5</v>
      </c>
      <c r="D24" s="6">
        <f t="shared" si="15"/>
        <v>1795.5</v>
      </c>
      <c r="E24" s="6">
        <f t="shared" si="15"/>
        <v>2821.5</v>
      </c>
      <c r="F24" s="6">
        <f t="shared" si="15"/>
        <v>3762</v>
      </c>
      <c r="G24" s="6">
        <f t="shared" si="15"/>
        <v>4816.5</v>
      </c>
      <c r="H24" s="6">
        <f t="shared" si="15"/>
        <v>5557.5</v>
      </c>
      <c r="I24" s="6">
        <f t="shared" si="15"/>
        <v>6783</v>
      </c>
      <c r="J24" s="6">
        <f t="shared" si="15"/>
        <v>7581</v>
      </c>
      <c r="K24" s="6">
        <f t="shared" si="15"/>
        <v>8977.5</v>
      </c>
      <c r="L24" s="6">
        <f t="shared" si="15"/>
        <v>9832.5</v>
      </c>
      <c r="M24" s="6">
        <f t="shared" si="15"/>
        <v>10687.5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23</v>
      </c>
      <c r="B25" s="6">
        <f t="shared" ref="B25:M25" si="16">B24-(B8*B15)</f>
        <v>164.475</v>
      </c>
      <c r="C25" s="6">
        <f t="shared" si="16"/>
        <v>383.775</v>
      </c>
      <c r="D25" s="6">
        <f t="shared" si="16"/>
        <v>690.795</v>
      </c>
      <c r="E25" s="6">
        <f t="shared" si="16"/>
        <v>1085.535</v>
      </c>
      <c r="F25" s="6">
        <f t="shared" si="16"/>
        <v>1447.38</v>
      </c>
      <c r="G25" s="6">
        <f t="shared" si="16"/>
        <v>1853.085</v>
      </c>
      <c r="H25" s="6">
        <f t="shared" si="16"/>
        <v>2138.175</v>
      </c>
      <c r="I25" s="6">
        <f t="shared" si="16"/>
        <v>2609.67</v>
      </c>
      <c r="J25" s="6">
        <f t="shared" si="16"/>
        <v>2916.69</v>
      </c>
      <c r="K25" s="6">
        <f t="shared" si="16"/>
        <v>3453.975</v>
      </c>
      <c r="L25" s="6">
        <f t="shared" si="16"/>
        <v>3782.925</v>
      </c>
      <c r="M25" s="6">
        <f t="shared" si="16"/>
        <v>4111.875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24</v>
      </c>
      <c r="B26" s="6">
        <f t="shared" ref="B26:M26" si="17">B25-B12</f>
        <v>-728.105</v>
      </c>
      <c r="C26" s="6">
        <f t="shared" si="17"/>
        <v>-781.605</v>
      </c>
      <c r="D26" s="6">
        <f t="shared" si="17"/>
        <v>-956.505</v>
      </c>
      <c r="E26" s="6">
        <f t="shared" si="17"/>
        <v>-1052.805</v>
      </c>
      <c r="F26" s="6">
        <f t="shared" si="17"/>
        <v>-1178.58</v>
      </c>
      <c r="G26" s="6">
        <f t="shared" si="17"/>
        <v>-1265.055</v>
      </c>
      <c r="H26" s="6">
        <f t="shared" si="17"/>
        <v>-1459.605</v>
      </c>
      <c r="I26" s="6">
        <f t="shared" si="17"/>
        <v>-1487.13</v>
      </c>
      <c r="J26" s="6">
        <f t="shared" si="17"/>
        <v>-1662.03</v>
      </c>
      <c r="K26" s="6">
        <f t="shared" si="17"/>
        <v>-1630.605</v>
      </c>
      <c r="L26" s="6">
        <f t="shared" si="17"/>
        <v>-1785.855</v>
      </c>
      <c r="M26" s="6">
        <f t="shared" si="17"/>
        <v>-1941.105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25</v>
      </c>
      <c r="B27" s="14"/>
      <c r="C27" s="14"/>
      <c r="D27" s="15">
        <v>0.15</v>
      </c>
      <c r="E27" s="15">
        <v>0.15</v>
      </c>
      <c r="F27" s="15">
        <v>0.15</v>
      </c>
      <c r="G27" s="15">
        <v>0.15</v>
      </c>
      <c r="H27" s="15">
        <v>0.15</v>
      </c>
      <c r="I27" s="15">
        <v>0.15</v>
      </c>
      <c r="J27" s="15">
        <v>0.15</v>
      </c>
      <c r="K27" s="15">
        <v>0.15</v>
      </c>
      <c r="L27" s="15">
        <v>0.15</v>
      </c>
      <c r="M27" s="15">
        <v>0.15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26</v>
      </c>
      <c r="B28" s="14"/>
      <c r="C28" s="14"/>
      <c r="D28" s="6">
        <f t="shared" ref="D28:M28" si="18">(B9*D22)+(B9*D27*D22)</f>
        <v>189.14625</v>
      </c>
      <c r="E28" s="6">
        <f t="shared" si="18"/>
        <v>441.34125</v>
      </c>
      <c r="F28" s="6">
        <f t="shared" si="18"/>
        <v>794.41425</v>
      </c>
      <c r="G28" s="6">
        <f t="shared" si="18"/>
        <v>1248.36525</v>
      </c>
      <c r="H28" s="6">
        <f t="shared" si="18"/>
        <v>1664.487</v>
      </c>
      <c r="I28" s="6">
        <f t="shared" si="18"/>
        <v>2131.04775</v>
      </c>
      <c r="J28" s="6">
        <f t="shared" si="18"/>
        <v>2458.90125</v>
      </c>
      <c r="K28" s="6">
        <f t="shared" si="18"/>
        <v>3001.1205</v>
      </c>
      <c r="L28" s="6">
        <f t="shared" si="18"/>
        <v>3354.1935</v>
      </c>
      <c r="M28" s="6">
        <f t="shared" si="18"/>
        <v>3972.07125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27</v>
      </c>
      <c r="B29" s="14"/>
      <c r="C29" s="14"/>
      <c r="D29" s="14"/>
      <c r="E29" s="14"/>
      <c r="F29" s="15">
        <v>0.08</v>
      </c>
      <c r="G29" s="15">
        <v>0.08</v>
      </c>
      <c r="H29" s="15">
        <v>0.08</v>
      </c>
      <c r="I29" s="15">
        <v>0.08</v>
      </c>
      <c r="J29" s="15">
        <v>0.08</v>
      </c>
      <c r="K29" s="15">
        <v>0.08</v>
      </c>
      <c r="L29" s="15">
        <v>0.08</v>
      </c>
      <c r="M29" s="15">
        <v>0.08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28</v>
      </c>
      <c r="B30" s="14"/>
      <c r="C30" s="14"/>
      <c r="D30" s="14"/>
      <c r="E30" s="14"/>
      <c r="F30" s="6">
        <f t="shared" ref="F30:M30" si="19">(B9*F15)+(B9*F27*F29*F22)</f>
        <v>264.9987</v>
      </c>
      <c r="G30" s="6">
        <f t="shared" si="19"/>
        <v>618.3303</v>
      </c>
      <c r="H30" s="6">
        <f t="shared" si="19"/>
        <v>1112.99454</v>
      </c>
      <c r="I30" s="6">
        <f t="shared" si="19"/>
        <v>1748.99142</v>
      </c>
      <c r="J30" s="6">
        <f t="shared" si="19"/>
        <v>2331.98856</v>
      </c>
      <c r="K30" s="6">
        <f t="shared" si="19"/>
        <v>2985.65202</v>
      </c>
      <c r="L30" s="6">
        <f t="shared" si="19"/>
        <v>3444.9831</v>
      </c>
      <c r="M30" s="6">
        <f t="shared" si="19"/>
        <v>4204.64604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29</v>
      </c>
      <c r="B31" s="16">
        <f t="shared" ref="B31:M31" si="20">(B30+B28)-B12</f>
        <v>-892.58</v>
      </c>
      <c r="C31" s="16">
        <f t="shared" si="20"/>
        <v>-1165.38</v>
      </c>
      <c r="D31" s="16">
        <f t="shared" si="20"/>
        <v>-1458.15375</v>
      </c>
      <c r="E31" s="16">
        <f t="shared" si="20"/>
        <v>-1696.99875</v>
      </c>
      <c r="F31" s="16">
        <f t="shared" si="20"/>
        <v>-1566.54705</v>
      </c>
      <c r="G31" s="16">
        <f t="shared" si="20"/>
        <v>-1251.44445</v>
      </c>
      <c r="H31" s="16">
        <f t="shared" si="20"/>
        <v>-820.29846</v>
      </c>
      <c r="I31" s="16">
        <f t="shared" si="20"/>
        <v>-216.76083</v>
      </c>
      <c r="J31" s="16">
        <f t="shared" si="20"/>
        <v>212.16981</v>
      </c>
      <c r="K31" s="16">
        <f t="shared" si="20"/>
        <v>902.19252</v>
      </c>
      <c r="L31" s="16">
        <f t="shared" si="20"/>
        <v>1230.3966</v>
      </c>
      <c r="M31" s="16">
        <f t="shared" si="20"/>
        <v>2123.73729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30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31</v>
      </c>
      <c r="B33" s="5">
        <v>5.0</v>
      </c>
      <c r="C33" s="5">
        <v>10.0</v>
      </c>
      <c r="D33" s="5">
        <v>15.0</v>
      </c>
      <c r="E33" s="5">
        <v>20.0</v>
      </c>
      <c r="F33" s="5">
        <v>25.0</v>
      </c>
      <c r="G33" s="5">
        <v>30.0</v>
      </c>
      <c r="H33" s="5">
        <v>35.0</v>
      </c>
      <c r="I33" s="5">
        <v>40.0</v>
      </c>
      <c r="J33" s="5">
        <v>45.0</v>
      </c>
      <c r="K33" s="5">
        <v>50.0</v>
      </c>
      <c r="L33" s="5">
        <v>55.0</v>
      </c>
      <c r="M33" s="5">
        <v>60.0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32</v>
      </c>
      <c r="B34" s="6">
        <f t="shared" ref="B34:M34" si="21">B8*B33/100</f>
        <v>1.125</v>
      </c>
      <c r="C34" s="6">
        <f t="shared" si="21"/>
        <v>5.25</v>
      </c>
      <c r="D34" s="6">
        <f t="shared" si="21"/>
        <v>14.175</v>
      </c>
      <c r="E34" s="6">
        <f t="shared" si="21"/>
        <v>29.7</v>
      </c>
      <c r="F34" s="6">
        <f t="shared" si="21"/>
        <v>49.5</v>
      </c>
      <c r="G34" s="6">
        <f t="shared" si="21"/>
        <v>76.05</v>
      </c>
      <c r="H34" s="6">
        <f t="shared" si="21"/>
        <v>102.375</v>
      </c>
      <c r="I34" s="6">
        <f t="shared" si="21"/>
        <v>142.8</v>
      </c>
      <c r="J34" s="6">
        <f t="shared" si="21"/>
        <v>179.55</v>
      </c>
      <c r="K34" s="6">
        <f t="shared" si="21"/>
        <v>236.25</v>
      </c>
      <c r="L34" s="6">
        <f t="shared" si="21"/>
        <v>284.625</v>
      </c>
      <c r="M34" s="6">
        <f t="shared" si="21"/>
        <v>337.5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33</v>
      </c>
      <c r="B35" s="6">
        <f t="shared" ref="B35:M35" si="22">B34</f>
        <v>1.125</v>
      </c>
      <c r="C35" s="6">
        <f t="shared" si="22"/>
        <v>5.25</v>
      </c>
      <c r="D35" s="6">
        <f t="shared" si="22"/>
        <v>14.175</v>
      </c>
      <c r="E35" s="6">
        <f t="shared" si="22"/>
        <v>29.7</v>
      </c>
      <c r="F35" s="6">
        <f t="shared" si="22"/>
        <v>49.5</v>
      </c>
      <c r="G35" s="6">
        <f t="shared" si="22"/>
        <v>76.05</v>
      </c>
      <c r="H35" s="6">
        <f t="shared" si="22"/>
        <v>102.375</v>
      </c>
      <c r="I35" s="6">
        <f t="shared" si="22"/>
        <v>142.8</v>
      </c>
      <c r="J35" s="6">
        <f t="shared" si="22"/>
        <v>179.55</v>
      </c>
      <c r="K35" s="6">
        <f t="shared" si="22"/>
        <v>236.25</v>
      </c>
      <c r="L35" s="6">
        <f t="shared" si="22"/>
        <v>284.625</v>
      </c>
      <c r="M35" s="6">
        <f t="shared" si="22"/>
        <v>337.5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34</v>
      </c>
      <c r="B36" s="6">
        <f t="shared" ref="B36:M36" si="23">B37+B38</f>
        <v>11.69</v>
      </c>
      <c r="C36" s="6">
        <f t="shared" si="23"/>
        <v>11.69</v>
      </c>
      <c r="D36" s="6">
        <f t="shared" si="23"/>
        <v>11.69</v>
      </c>
      <c r="E36" s="6">
        <f t="shared" si="23"/>
        <v>11.69</v>
      </c>
      <c r="F36" s="6">
        <f t="shared" si="23"/>
        <v>11.69</v>
      </c>
      <c r="G36" s="6">
        <f t="shared" si="23"/>
        <v>11.69</v>
      </c>
      <c r="H36" s="6">
        <f t="shared" si="23"/>
        <v>11.69</v>
      </c>
      <c r="I36" s="6">
        <f t="shared" si="23"/>
        <v>11.69</v>
      </c>
      <c r="J36" s="6">
        <f t="shared" si="23"/>
        <v>11.69</v>
      </c>
      <c r="K36" s="6">
        <f t="shared" si="23"/>
        <v>11.69</v>
      </c>
      <c r="L36" s="6">
        <f t="shared" si="23"/>
        <v>11.69</v>
      </c>
      <c r="M36" s="6">
        <f t="shared" si="23"/>
        <v>11.69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14</v>
      </c>
      <c r="B37" s="5">
        <f t="shared" ref="B37:M37" si="24">B16</f>
        <v>5.84</v>
      </c>
      <c r="C37" s="5">
        <f t="shared" si="24"/>
        <v>5.84</v>
      </c>
      <c r="D37" s="5">
        <f t="shared" si="24"/>
        <v>5.84</v>
      </c>
      <c r="E37" s="5">
        <f t="shared" si="24"/>
        <v>5.84</v>
      </c>
      <c r="F37" s="5">
        <f t="shared" si="24"/>
        <v>5.84</v>
      </c>
      <c r="G37" s="5">
        <f t="shared" si="24"/>
        <v>5.84</v>
      </c>
      <c r="H37" s="5">
        <f t="shared" si="24"/>
        <v>5.84</v>
      </c>
      <c r="I37" s="5">
        <f t="shared" si="24"/>
        <v>5.84</v>
      </c>
      <c r="J37" s="5">
        <f t="shared" si="24"/>
        <v>5.84</v>
      </c>
      <c r="K37" s="5">
        <f t="shared" si="24"/>
        <v>5.84</v>
      </c>
      <c r="L37" s="5">
        <f t="shared" si="24"/>
        <v>5.84</v>
      </c>
      <c r="M37" s="5">
        <f t="shared" si="24"/>
        <v>5.84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15</v>
      </c>
      <c r="B38" s="6">
        <f t="shared" ref="B38:M38" si="25">B17</f>
        <v>5.85</v>
      </c>
      <c r="C38" s="6">
        <f t="shared" si="25"/>
        <v>5.85</v>
      </c>
      <c r="D38" s="6">
        <f t="shared" si="25"/>
        <v>5.85</v>
      </c>
      <c r="E38" s="6">
        <f t="shared" si="25"/>
        <v>5.85</v>
      </c>
      <c r="F38" s="6">
        <f t="shared" si="25"/>
        <v>5.85</v>
      </c>
      <c r="G38" s="6">
        <f t="shared" si="25"/>
        <v>5.85</v>
      </c>
      <c r="H38" s="6">
        <f t="shared" si="25"/>
        <v>5.85</v>
      </c>
      <c r="I38" s="6">
        <f t="shared" si="25"/>
        <v>5.85</v>
      </c>
      <c r="J38" s="6">
        <f t="shared" si="25"/>
        <v>5.85</v>
      </c>
      <c r="K38" s="6">
        <f t="shared" si="25"/>
        <v>5.85</v>
      </c>
      <c r="L38" s="6">
        <f t="shared" si="25"/>
        <v>5.85</v>
      </c>
      <c r="M38" s="6">
        <f t="shared" si="25"/>
        <v>5.85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16</v>
      </c>
      <c r="B39" s="6">
        <f t="shared" ref="B39:M39" si="26">B18</f>
        <v>3</v>
      </c>
      <c r="C39" s="6">
        <f t="shared" si="26"/>
        <v>3</v>
      </c>
      <c r="D39" s="6">
        <f t="shared" si="26"/>
        <v>3</v>
      </c>
      <c r="E39" s="6">
        <f t="shared" si="26"/>
        <v>3</v>
      </c>
      <c r="F39" s="6">
        <f t="shared" si="26"/>
        <v>3</v>
      </c>
      <c r="G39" s="6">
        <f t="shared" si="26"/>
        <v>3</v>
      </c>
      <c r="H39" s="6">
        <f t="shared" si="26"/>
        <v>3</v>
      </c>
      <c r="I39" s="6">
        <f t="shared" si="26"/>
        <v>3</v>
      </c>
      <c r="J39" s="6">
        <f t="shared" si="26"/>
        <v>3</v>
      </c>
      <c r="K39" s="6">
        <f t="shared" si="26"/>
        <v>3</v>
      </c>
      <c r="L39" s="6">
        <f t="shared" si="26"/>
        <v>3</v>
      </c>
      <c r="M39" s="6">
        <f t="shared" si="26"/>
        <v>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17</v>
      </c>
      <c r="B40" s="6">
        <f t="shared" ref="B40:M40" si="27">B19</f>
        <v>2.85</v>
      </c>
      <c r="C40" s="6">
        <f t="shared" si="27"/>
        <v>2.85</v>
      </c>
      <c r="D40" s="6">
        <f t="shared" si="27"/>
        <v>2.85</v>
      </c>
      <c r="E40" s="6">
        <f t="shared" si="27"/>
        <v>2.85</v>
      </c>
      <c r="F40" s="6">
        <f t="shared" si="27"/>
        <v>2.85</v>
      </c>
      <c r="G40" s="6">
        <f t="shared" si="27"/>
        <v>2.85</v>
      </c>
      <c r="H40" s="6">
        <f t="shared" si="27"/>
        <v>2.85</v>
      </c>
      <c r="I40" s="6">
        <f t="shared" si="27"/>
        <v>2.85</v>
      </c>
      <c r="J40" s="6">
        <f t="shared" si="27"/>
        <v>2.85</v>
      </c>
      <c r="K40" s="6">
        <f t="shared" si="27"/>
        <v>2.85</v>
      </c>
      <c r="L40" s="6">
        <f t="shared" si="27"/>
        <v>2.85</v>
      </c>
      <c r="M40" s="6">
        <f t="shared" si="27"/>
        <v>2.85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18</v>
      </c>
      <c r="B41" s="5">
        <f t="shared" ref="B41:M41" si="28">B20</f>
        <v>19</v>
      </c>
      <c r="C41" s="5">
        <f t="shared" si="28"/>
        <v>19</v>
      </c>
      <c r="D41" s="5">
        <f t="shared" si="28"/>
        <v>19</v>
      </c>
      <c r="E41" s="5">
        <f t="shared" si="28"/>
        <v>19</v>
      </c>
      <c r="F41" s="5">
        <f t="shared" si="28"/>
        <v>19</v>
      </c>
      <c r="G41" s="5">
        <f t="shared" si="28"/>
        <v>19</v>
      </c>
      <c r="H41" s="5">
        <f t="shared" si="28"/>
        <v>19</v>
      </c>
      <c r="I41" s="5">
        <f t="shared" si="28"/>
        <v>19</v>
      </c>
      <c r="J41" s="5">
        <f t="shared" si="28"/>
        <v>19</v>
      </c>
      <c r="K41" s="5">
        <f t="shared" si="28"/>
        <v>19</v>
      </c>
      <c r="L41" s="5">
        <f t="shared" si="28"/>
        <v>19</v>
      </c>
      <c r="M41" s="5">
        <f t="shared" si="28"/>
        <v>19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35</v>
      </c>
      <c r="B42" s="6">
        <f t="shared" ref="B42:M42" si="29">B41-B36</f>
        <v>7.31</v>
      </c>
      <c r="C42" s="6">
        <f t="shared" si="29"/>
        <v>7.31</v>
      </c>
      <c r="D42" s="6">
        <f t="shared" si="29"/>
        <v>7.31</v>
      </c>
      <c r="E42" s="6">
        <f t="shared" si="29"/>
        <v>7.31</v>
      </c>
      <c r="F42" s="6">
        <f t="shared" si="29"/>
        <v>7.31</v>
      </c>
      <c r="G42" s="6">
        <f t="shared" si="29"/>
        <v>7.31</v>
      </c>
      <c r="H42" s="6">
        <f t="shared" si="29"/>
        <v>7.31</v>
      </c>
      <c r="I42" s="6">
        <f t="shared" si="29"/>
        <v>7.31</v>
      </c>
      <c r="J42" s="6">
        <f t="shared" si="29"/>
        <v>7.31</v>
      </c>
      <c r="K42" s="6">
        <f t="shared" si="29"/>
        <v>7.31</v>
      </c>
      <c r="L42" s="6">
        <f t="shared" si="29"/>
        <v>7.31</v>
      </c>
      <c r="M42" s="6">
        <f t="shared" si="29"/>
        <v>7.31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22</v>
      </c>
      <c r="B43" s="6">
        <f t="shared" ref="B43:M43" si="30">B41*B34</f>
        <v>21.375</v>
      </c>
      <c r="C43" s="6">
        <f t="shared" si="30"/>
        <v>99.75</v>
      </c>
      <c r="D43" s="6">
        <f t="shared" si="30"/>
        <v>269.325</v>
      </c>
      <c r="E43" s="6">
        <f t="shared" si="30"/>
        <v>564.3</v>
      </c>
      <c r="F43" s="6">
        <f t="shared" si="30"/>
        <v>940.5</v>
      </c>
      <c r="G43" s="6">
        <f t="shared" si="30"/>
        <v>1444.95</v>
      </c>
      <c r="H43" s="6">
        <f t="shared" si="30"/>
        <v>1945.125</v>
      </c>
      <c r="I43" s="6">
        <f t="shared" si="30"/>
        <v>2713.2</v>
      </c>
      <c r="J43" s="6">
        <f t="shared" si="30"/>
        <v>3411.45</v>
      </c>
      <c r="K43" s="6">
        <f t="shared" si="30"/>
        <v>4488.75</v>
      </c>
      <c r="L43" s="6">
        <f t="shared" si="30"/>
        <v>5407.875</v>
      </c>
      <c r="M43" s="6">
        <f t="shared" si="30"/>
        <v>6412.5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23</v>
      </c>
      <c r="B44" s="6">
        <f t="shared" ref="B44:M44" si="31">B34*(B41-B36)</f>
        <v>8.22375</v>
      </c>
      <c r="C44" s="6">
        <f t="shared" si="31"/>
        <v>38.3775</v>
      </c>
      <c r="D44" s="6">
        <f t="shared" si="31"/>
        <v>103.61925</v>
      </c>
      <c r="E44" s="6">
        <f t="shared" si="31"/>
        <v>217.107</v>
      </c>
      <c r="F44" s="6">
        <f t="shared" si="31"/>
        <v>361.845</v>
      </c>
      <c r="G44" s="6">
        <f t="shared" si="31"/>
        <v>555.9255</v>
      </c>
      <c r="H44" s="6">
        <f t="shared" si="31"/>
        <v>748.36125</v>
      </c>
      <c r="I44" s="6">
        <f t="shared" si="31"/>
        <v>1043.868</v>
      </c>
      <c r="J44" s="6">
        <f t="shared" si="31"/>
        <v>1312.5105</v>
      </c>
      <c r="K44" s="6">
        <f t="shared" si="31"/>
        <v>1726.9875</v>
      </c>
      <c r="L44" s="6">
        <f t="shared" si="31"/>
        <v>2080.60875</v>
      </c>
      <c r="M44" s="6">
        <f t="shared" si="31"/>
        <v>2467.125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36</v>
      </c>
      <c r="B45" s="6">
        <f t="shared" ref="B45:M45" si="32">B42*B34-3%</f>
        <v>8.19375</v>
      </c>
      <c r="C45" s="6">
        <f t="shared" si="32"/>
        <v>38.3475</v>
      </c>
      <c r="D45" s="6">
        <f t="shared" si="32"/>
        <v>103.58925</v>
      </c>
      <c r="E45" s="6">
        <f t="shared" si="32"/>
        <v>217.077</v>
      </c>
      <c r="F45" s="6">
        <f t="shared" si="32"/>
        <v>361.815</v>
      </c>
      <c r="G45" s="6">
        <f t="shared" si="32"/>
        <v>555.8955</v>
      </c>
      <c r="H45" s="6">
        <f t="shared" si="32"/>
        <v>748.33125</v>
      </c>
      <c r="I45" s="6">
        <f t="shared" si="32"/>
        <v>1043.838</v>
      </c>
      <c r="J45" s="6">
        <f t="shared" si="32"/>
        <v>1312.4805</v>
      </c>
      <c r="K45" s="6">
        <f t="shared" si="32"/>
        <v>1726.9575</v>
      </c>
      <c r="L45" s="6">
        <f t="shared" si="32"/>
        <v>2080.57875</v>
      </c>
      <c r="M45" s="6">
        <f t="shared" si="32"/>
        <v>2467.095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25</v>
      </c>
      <c r="B46" s="14"/>
      <c r="C46" s="14"/>
      <c r="D46" s="6">
        <v>0.3</v>
      </c>
      <c r="E46" s="6">
        <v>0.3</v>
      </c>
      <c r="F46" s="6">
        <v>0.3</v>
      </c>
      <c r="G46" s="6">
        <v>0.3</v>
      </c>
      <c r="H46" s="6">
        <v>0.3</v>
      </c>
      <c r="I46" s="6">
        <v>0.3</v>
      </c>
      <c r="J46" s="6">
        <v>0.3</v>
      </c>
      <c r="K46" s="6">
        <v>0.3</v>
      </c>
      <c r="L46" s="6">
        <v>0.3</v>
      </c>
      <c r="M46" s="6">
        <v>0.3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26</v>
      </c>
      <c r="B47" s="14"/>
      <c r="C47" s="14"/>
      <c r="D47" s="6">
        <f t="shared" ref="D47:M47" si="33">(D42*(1+D46))*B35</f>
        <v>10.690875</v>
      </c>
      <c r="E47" s="6">
        <f t="shared" si="33"/>
        <v>49.89075</v>
      </c>
      <c r="F47" s="6">
        <f t="shared" si="33"/>
        <v>134.705025</v>
      </c>
      <c r="G47" s="6">
        <f t="shared" si="33"/>
        <v>282.2391</v>
      </c>
      <c r="H47" s="6">
        <f t="shared" si="33"/>
        <v>470.3985</v>
      </c>
      <c r="I47" s="6">
        <f t="shared" si="33"/>
        <v>722.70315</v>
      </c>
      <c r="J47" s="6">
        <f t="shared" si="33"/>
        <v>972.869625</v>
      </c>
      <c r="K47" s="6">
        <f t="shared" si="33"/>
        <v>1357.0284</v>
      </c>
      <c r="L47" s="6">
        <f t="shared" si="33"/>
        <v>1706.26365</v>
      </c>
      <c r="M47" s="6">
        <f t="shared" si="33"/>
        <v>2245.08375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27</v>
      </c>
      <c r="B48" s="14"/>
      <c r="C48" s="14"/>
      <c r="D48" s="14"/>
      <c r="E48" s="14"/>
      <c r="F48" s="6">
        <v>0.2</v>
      </c>
      <c r="G48" s="6">
        <v>0.2</v>
      </c>
      <c r="H48" s="6">
        <v>0.2</v>
      </c>
      <c r="I48" s="6">
        <v>0.2</v>
      </c>
      <c r="J48" s="6">
        <v>0.2</v>
      </c>
      <c r="K48" s="6">
        <v>0.2</v>
      </c>
      <c r="L48" s="6">
        <v>0.2</v>
      </c>
      <c r="M48" s="6">
        <v>0.2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28</v>
      </c>
      <c r="B49" s="14"/>
      <c r="C49" s="14"/>
      <c r="D49" s="14"/>
      <c r="E49" s="14"/>
      <c r="F49" s="6">
        <f t="shared" ref="F49:M49" si="34">(F42*(1+F46+F48)*B35)</f>
        <v>12.335625</v>
      </c>
      <c r="G49" s="6">
        <f t="shared" si="34"/>
        <v>57.56625</v>
      </c>
      <c r="H49" s="6">
        <f t="shared" si="34"/>
        <v>155.428875</v>
      </c>
      <c r="I49" s="6">
        <f t="shared" si="34"/>
        <v>325.6605</v>
      </c>
      <c r="J49" s="6">
        <f t="shared" si="34"/>
        <v>542.7675</v>
      </c>
      <c r="K49" s="6">
        <f t="shared" si="34"/>
        <v>833.88825</v>
      </c>
      <c r="L49" s="6">
        <f t="shared" si="34"/>
        <v>1122.541875</v>
      </c>
      <c r="M49" s="6">
        <f t="shared" si="34"/>
        <v>1565.802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29</v>
      </c>
      <c r="B50" s="16">
        <f t="shared" ref="B50:M50" si="35">(B49+B47)</f>
        <v>0</v>
      </c>
      <c r="C50" s="16">
        <f t="shared" si="35"/>
        <v>0</v>
      </c>
      <c r="D50" s="16">
        <f t="shared" si="35"/>
        <v>10.690875</v>
      </c>
      <c r="E50" s="16">
        <f t="shared" si="35"/>
        <v>49.89075</v>
      </c>
      <c r="F50" s="16">
        <f t="shared" si="35"/>
        <v>147.04065</v>
      </c>
      <c r="G50" s="16">
        <f t="shared" si="35"/>
        <v>339.80535</v>
      </c>
      <c r="H50" s="16">
        <f t="shared" si="35"/>
        <v>625.827375</v>
      </c>
      <c r="I50" s="16">
        <f t="shared" si="35"/>
        <v>1048.36365</v>
      </c>
      <c r="J50" s="16">
        <f t="shared" si="35"/>
        <v>1515.637125</v>
      </c>
      <c r="K50" s="16">
        <f t="shared" si="35"/>
        <v>2190.91665</v>
      </c>
      <c r="L50" s="16">
        <f t="shared" si="35"/>
        <v>2828.805525</v>
      </c>
      <c r="M50" s="16">
        <f t="shared" si="35"/>
        <v>3810.88575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37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38</v>
      </c>
      <c r="B52" s="6">
        <f t="shared" ref="B52:M52" si="36">B8+B34</f>
        <v>23.625</v>
      </c>
      <c r="C52" s="6">
        <f t="shared" si="36"/>
        <v>57.75</v>
      </c>
      <c r="D52" s="6">
        <f t="shared" si="36"/>
        <v>108.675</v>
      </c>
      <c r="E52" s="6">
        <f t="shared" si="36"/>
        <v>178.2</v>
      </c>
      <c r="F52" s="6">
        <f t="shared" si="36"/>
        <v>247.5</v>
      </c>
      <c r="G52" s="6">
        <f t="shared" si="36"/>
        <v>329.55</v>
      </c>
      <c r="H52" s="6">
        <f t="shared" si="36"/>
        <v>394.875</v>
      </c>
      <c r="I52" s="6">
        <f t="shared" si="36"/>
        <v>499.8</v>
      </c>
      <c r="J52" s="6">
        <f t="shared" si="36"/>
        <v>578.55</v>
      </c>
      <c r="K52" s="6">
        <f t="shared" si="36"/>
        <v>708.75</v>
      </c>
      <c r="L52" s="6">
        <f t="shared" si="36"/>
        <v>802.125</v>
      </c>
      <c r="M52" s="6">
        <f t="shared" si="36"/>
        <v>900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23</v>
      </c>
      <c r="B53" s="20">
        <f t="shared" ref="B53:M53" si="37">B25+B44</f>
        <v>172.69875</v>
      </c>
      <c r="C53" s="20">
        <f t="shared" si="37"/>
        <v>422.1525</v>
      </c>
      <c r="D53" s="20">
        <f t="shared" si="37"/>
        <v>794.41425</v>
      </c>
      <c r="E53" s="20">
        <f t="shared" si="37"/>
        <v>1302.642</v>
      </c>
      <c r="F53" s="20">
        <f t="shared" si="37"/>
        <v>1809.225</v>
      </c>
      <c r="G53" s="20">
        <f t="shared" si="37"/>
        <v>2409.0105</v>
      </c>
      <c r="H53" s="20">
        <f t="shared" si="37"/>
        <v>2886.53625</v>
      </c>
      <c r="I53" s="20">
        <f t="shared" si="37"/>
        <v>3653.538</v>
      </c>
      <c r="J53" s="20">
        <f t="shared" si="37"/>
        <v>4229.2005</v>
      </c>
      <c r="K53" s="20">
        <f t="shared" si="37"/>
        <v>5180.9625</v>
      </c>
      <c r="L53" s="20">
        <f t="shared" si="37"/>
        <v>5863.53375</v>
      </c>
      <c r="M53" s="20">
        <f t="shared" si="37"/>
        <v>6579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1" t="s">
        <v>39</v>
      </c>
      <c r="B54" s="6">
        <f t="shared" ref="B54:M54" si="38">B26+B45</f>
        <v>-719.91125</v>
      </c>
      <c r="C54" s="6">
        <f t="shared" si="38"/>
        <v>-743.2575</v>
      </c>
      <c r="D54" s="6">
        <f t="shared" si="38"/>
        <v>-852.91575</v>
      </c>
      <c r="E54" s="6">
        <f t="shared" si="38"/>
        <v>-835.728</v>
      </c>
      <c r="F54" s="6">
        <f t="shared" si="38"/>
        <v>-816.765</v>
      </c>
      <c r="G54" s="6">
        <f t="shared" si="38"/>
        <v>-709.1595</v>
      </c>
      <c r="H54" s="6">
        <f t="shared" si="38"/>
        <v>-711.27375</v>
      </c>
      <c r="I54" s="6">
        <f t="shared" si="38"/>
        <v>-443.292</v>
      </c>
      <c r="J54" s="6">
        <f t="shared" si="38"/>
        <v>-349.5495</v>
      </c>
      <c r="K54" s="6">
        <f t="shared" si="38"/>
        <v>96.3525</v>
      </c>
      <c r="L54" s="6">
        <f t="shared" si="38"/>
        <v>294.72375</v>
      </c>
      <c r="M54" s="6">
        <f t="shared" si="38"/>
        <v>525.99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22</v>
      </c>
      <c r="B55" s="6">
        <f t="shared" ref="B55:M55" si="39">B43+B24</f>
        <v>448.875</v>
      </c>
      <c r="C55" s="6">
        <f t="shared" si="39"/>
        <v>1097.25</v>
      </c>
      <c r="D55" s="6">
        <f t="shared" si="39"/>
        <v>2064.825</v>
      </c>
      <c r="E55" s="6">
        <f t="shared" si="39"/>
        <v>3385.8</v>
      </c>
      <c r="F55" s="6">
        <f t="shared" si="39"/>
        <v>4702.5</v>
      </c>
      <c r="G55" s="6">
        <f t="shared" si="39"/>
        <v>6261.45</v>
      </c>
      <c r="H55" s="6">
        <f t="shared" si="39"/>
        <v>7502.625</v>
      </c>
      <c r="I55" s="6">
        <f t="shared" si="39"/>
        <v>9496.2</v>
      </c>
      <c r="J55" s="6">
        <f t="shared" si="39"/>
        <v>10992.45</v>
      </c>
      <c r="K55" s="6">
        <f t="shared" si="39"/>
        <v>13466.25</v>
      </c>
      <c r="L55" s="6">
        <f t="shared" si="39"/>
        <v>15240.375</v>
      </c>
      <c r="M55" s="6">
        <f t="shared" si="39"/>
        <v>17100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40</v>
      </c>
      <c r="B56" s="6">
        <f t="shared" ref="B56:M56" si="40">B12/B55</f>
        <v>1.988482317</v>
      </c>
      <c r="C56" s="6">
        <f t="shared" si="40"/>
        <v>1.062091593</v>
      </c>
      <c r="D56" s="6">
        <f t="shared" si="40"/>
        <v>0.7977915804</v>
      </c>
      <c r="E56" s="6">
        <f t="shared" si="40"/>
        <v>0.6315612263</v>
      </c>
      <c r="F56" s="6">
        <f t="shared" si="40"/>
        <v>0.5584178628</v>
      </c>
      <c r="G56" s="6">
        <f t="shared" si="40"/>
        <v>0.4979900822</v>
      </c>
      <c r="H56" s="6">
        <f t="shared" si="40"/>
        <v>0.4795361623</v>
      </c>
      <c r="I56" s="6">
        <f t="shared" si="40"/>
        <v>0.4314146711</v>
      </c>
      <c r="J56" s="6">
        <f t="shared" si="40"/>
        <v>0.4165331659</v>
      </c>
      <c r="K56" s="6">
        <f t="shared" si="40"/>
        <v>0.3775795043</v>
      </c>
      <c r="L56" s="6">
        <f t="shared" si="40"/>
        <v>0.3653965208</v>
      </c>
      <c r="M56" s="6">
        <f t="shared" si="40"/>
        <v>0.3539754386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26</v>
      </c>
      <c r="B57" s="6">
        <f t="shared" ref="B57:M57" si="41">B28+B47</f>
        <v>0</v>
      </c>
      <c r="C57" s="6">
        <f t="shared" si="41"/>
        <v>0</v>
      </c>
      <c r="D57" s="6">
        <f t="shared" si="41"/>
        <v>199.837125</v>
      </c>
      <c r="E57" s="6">
        <f t="shared" si="41"/>
        <v>491.232</v>
      </c>
      <c r="F57" s="6">
        <f t="shared" si="41"/>
        <v>929.119275</v>
      </c>
      <c r="G57" s="6">
        <f t="shared" si="41"/>
        <v>1530.60435</v>
      </c>
      <c r="H57" s="6">
        <f t="shared" si="41"/>
        <v>2134.8855</v>
      </c>
      <c r="I57" s="6">
        <f t="shared" si="41"/>
        <v>2853.7509</v>
      </c>
      <c r="J57" s="6">
        <f t="shared" si="41"/>
        <v>3431.770875</v>
      </c>
      <c r="K57" s="6">
        <f t="shared" si="41"/>
        <v>4358.1489</v>
      </c>
      <c r="L57" s="6">
        <f t="shared" si="41"/>
        <v>5060.45715</v>
      </c>
      <c r="M57" s="6">
        <f t="shared" si="41"/>
        <v>6217.155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28</v>
      </c>
      <c r="B58" s="6">
        <f t="shared" ref="B58:M58" si="42">B30+B49</f>
        <v>0</v>
      </c>
      <c r="C58" s="6">
        <f t="shared" si="42"/>
        <v>0</v>
      </c>
      <c r="D58" s="6">
        <f t="shared" si="42"/>
        <v>0</v>
      </c>
      <c r="E58" s="6">
        <f t="shared" si="42"/>
        <v>0</v>
      </c>
      <c r="F58" s="6">
        <f t="shared" si="42"/>
        <v>277.334325</v>
      </c>
      <c r="G58" s="6">
        <f t="shared" si="42"/>
        <v>675.89655</v>
      </c>
      <c r="H58" s="6">
        <f t="shared" si="42"/>
        <v>1268.423415</v>
      </c>
      <c r="I58" s="6">
        <f t="shared" si="42"/>
        <v>2074.65192</v>
      </c>
      <c r="J58" s="6">
        <f t="shared" si="42"/>
        <v>2874.75606</v>
      </c>
      <c r="K58" s="6">
        <f t="shared" si="42"/>
        <v>3819.54027</v>
      </c>
      <c r="L58" s="6">
        <f t="shared" si="42"/>
        <v>4567.524975</v>
      </c>
      <c r="M58" s="6">
        <f t="shared" si="42"/>
        <v>5770.44804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29</v>
      </c>
      <c r="B59" s="6">
        <f t="shared" ref="B59:M59" si="43">B50+B31</f>
        <v>-892.58</v>
      </c>
      <c r="C59" s="6">
        <f t="shared" si="43"/>
        <v>-1165.38</v>
      </c>
      <c r="D59" s="6">
        <f t="shared" si="43"/>
        <v>-1447.462875</v>
      </c>
      <c r="E59" s="6">
        <f t="shared" si="43"/>
        <v>-1647.108</v>
      </c>
      <c r="F59" s="6">
        <f t="shared" si="43"/>
        <v>-1419.5064</v>
      </c>
      <c r="G59" s="6">
        <f t="shared" si="43"/>
        <v>-911.6391</v>
      </c>
      <c r="H59" s="6">
        <f t="shared" si="43"/>
        <v>-194.471085</v>
      </c>
      <c r="I59" s="6">
        <f t="shared" si="43"/>
        <v>831.60282</v>
      </c>
      <c r="J59" s="6">
        <f t="shared" si="43"/>
        <v>1727.806935</v>
      </c>
      <c r="K59" s="6">
        <f t="shared" si="43"/>
        <v>3093.10917</v>
      </c>
      <c r="L59" s="6">
        <f t="shared" si="43"/>
        <v>4059.202125</v>
      </c>
      <c r="M59" s="6">
        <f t="shared" si="43"/>
        <v>5934.62304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41</v>
      </c>
      <c r="B60" s="6">
        <f t="shared" ref="B60:M60" si="44">B59+B54</f>
        <v>-1612.49125</v>
      </c>
      <c r="C60" s="6">
        <f t="shared" si="44"/>
        <v>-1908.6375</v>
      </c>
      <c r="D60" s="6">
        <f t="shared" si="44"/>
        <v>-2300.378625</v>
      </c>
      <c r="E60" s="6">
        <f t="shared" si="44"/>
        <v>-2482.836</v>
      </c>
      <c r="F60" s="6">
        <f t="shared" si="44"/>
        <v>-2236.2714</v>
      </c>
      <c r="G60" s="6">
        <f t="shared" si="44"/>
        <v>-1620.7986</v>
      </c>
      <c r="H60" s="6">
        <f t="shared" si="44"/>
        <v>-905.744835</v>
      </c>
      <c r="I60" s="6">
        <f t="shared" si="44"/>
        <v>388.31082</v>
      </c>
      <c r="J60" s="6">
        <f t="shared" si="44"/>
        <v>1378.257435</v>
      </c>
      <c r="K60" s="6">
        <f t="shared" si="44"/>
        <v>3189.46167</v>
      </c>
      <c r="L60" s="6">
        <f t="shared" si="44"/>
        <v>4353.925875</v>
      </c>
      <c r="M60" s="6">
        <f t="shared" si="44"/>
        <v>6460.61304</v>
      </c>
      <c r="N60" s="32">
        <f>SUM(B60:M60)</f>
        <v>2703.41063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3">
    <mergeCell ref="A1:M1"/>
    <mergeCell ref="A32:M32"/>
    <mergeCell ref="A51:M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</v>
      </c>
      <c r="B3" s="8">
        <v>13.0</v>
      </c>
      <c r="C3" s="5">
        <f t="shared" ref="C3:M3" si="1">B3+10</f>
        <v>23</v>
      </c>
      <c r="D3" s="5">
        <f t="shared" si="1"/>
        <v>33</v>
      </c>
      <c r="E3" s="5">
        <f t="shared" si="1"/>
        <v>43</v>
      </c>
      <c r="F3" s="5">
        <f t="shared" si="1"/>
        <v>53</v>
      </c>
      <c r="G3" s="5">
        <f t="shared" si="1"/>
        <v>63</v>
      </c>
      <c r="H3" s="5">
        <f t="shared" si="1"/>
        <v>73</v>
      </c>
      <c r="I3" s="5">
        <f t="shared" si="1"/>
        <v>83</v>
      </c>
      <c r="J3" s="5">
        <f t="shared" si="1"/>
        <v>93</v>
      </c>
      <c r="K3" s="5">
        <f t="shared" si="1"/>
        <v>103</v>
      </c>
      <c r="L3" s="5">
        <f t="shared" si="1"/>
        <v>113</v>
      </c>
      <c r="M3" s="5">
        <f t="shared" si="1"/>
        <v>123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5">
        <f t="shared" ref="B5:M5" si="2">B3*B4</f>
        <v>390</v>
      </c>
      <c r="C5" s="5">
        <f t="shared" si="2"/>
        <v>690</v>
      </c>
      <c r="D5" s="5">
        <f t="shared" si="2"/>
        <v>990</v>
      </c>
      <c r="E5" s="5">
        <f t="shared" si="2"/>
        <v>1290</v>
      </c>
      <c r="F5" s="5">
        <f t="shared" si="2"/>
        <v>1590</v>
      </c>
      <c r="G5" s="5">
        <f t="shared" si="2"/>
        <v>1890</v>
      </c>
      <c r="H5" s="5">
        <f t="shared" si="2"/>
        <v>2190</v>
      </c>
      <c r="I5" s="5">
        <f t="shared" si="2"/>
        <v>2490</v>
      </c>
      <c r="J5" s="5">
        <f t="shared" si="2"/>
        <v>2790</v>
      </c>
      <c r="K5" s="5">
        <f t="shared" si="2"/>
        <v>3090</v>
      </c>
      <c r="L5" s="5">
        <f t="shared" si="2"/>
        <v>3390</v>
      </c>
      <c r="M5" s="5">
        <f t="shared" si="2"/>
        <v>3690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</v>
      </c>
      <c r="B6" s="8">
        <v>1.8</v>
      </c>
      <c r="C6" s="8">
        <v>1.8</v>
      </c>
      <c r="D6" s="8">
        <v>1.8</v>
      </c>
      <c r="E6" s="8">
        <v>1.8</v>
      </c>
      <c r="F6" s="8">
        <v>1.8</v>
      </c>
      <c r="G6" s="8">
        <v>1.8</v>
      </c>
      <c r="H6" s="8">
        <v>1.8</v>
      </c>
      <c r="I6" s="8">
        <v>1.8</v>
      </c>
      <c r="J6" s="8">
        <v>1.8</v>
      </c>
      <c r="K6" s="8">
        <v>1.8</v>
      </c>
      <c r="L6" s="8">
        <v>1.8</v>
      </c>
      <c r="M6" s="8">
        <v>1.8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6</v>
      </c>
      <c r="B7" s="5">
        <v>5.0</v>
      </c>
      <c r="C7" s="8">
        <v>7.0</v>
      </c>
      <c r="D7" s="8">
        <v>9.0</v>
      </c>
      <c r="E7" s="8">
        <v>11.0</v>
      </c>
      <c r="F7" s="8">
        <v>12.0</v>
      </c>
      <c r="G7" s="8">
        <v>13.0</v>
      </c>
      <c r="H7" s="8">
        <v>13.0</v>
      </c>
      <c r="I7" s="8">
        <v>14.0</v>
      </c>
      <c r="J7" s="8">
        <v>14.0</v>
      </c>
      <c r="K7" s="8">
        <v>15.0</v>
      </c>
      <c r="L7" s="5">
        <v>15.0</v>
      </c>
      <c r="M7" s="5">
        <v>15.0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6">
        <f t="shared" ref="B8:M8" si="3">B5*B7/100</f>
        <v>19.5</v>
      </c>
      <c r="C8" s="6">
        <f t="shared" si="3"/>
        <v>48.3</v>
      </c>
      <c r="D8" s="6">
        <f t="shared" si="3"/>
        <v>89.1</v>
      </c>
      <c r="E8" s="6">
        <f t="shared" si="3"/>
        <v>141.9</v>
      </c>
      <c r="F8" s="6">
        <f t="shared" si="3"/>
        <v>190.8</v>
      </c>
      <c r="G8" s="6">
        <f t="shared" si="3"/>
        <v>245.7</v>
      </c>
      <c r="H8" s="6">
        <f t="shared" si="3"/>
        <v>284.7</v>
      </c>
      <c r="I8" s="6">
        <f t="shared" si="3"/>
        <v>348.6</v>
      </c>
      <c r="J8" s="6">
        <f t="shared" si="3"/>
        <v>390.6</v>
      </c>
      <c r="K8" s="6">
        <f t="shared" si="3"/>
        <v>463.5</v>
      </c>
      <c r="L8" s="6">
        <f t="shared" si="3"/>
        <v>508.5</v>
      </c>
      <c r="M8" s="6">
        <f t="shared" si="3"/>
        <v>553.5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6">
        <f t="shared" ref="B9:M9" si="4">B8</f>
        <v>19.5</v>
      </c>
      <c r="C9" s="6">
        <f t="shared" si="4"/>
        <v>48.3</v>
      </c>
      <c r="D9" s="6">
        <f t="shared" si="4"/>
        <v>89.1</v>
      </c>
      <c r="E9" s="6">
        <f t="shared" si="4"/>
        <v>141.9</v>
      </c>
      <c r="F9" s="6">
        <f t="shared" si="4"/>
        <v>190.8</v>
      </c>
      <c r="G9" s="6">
        <f t="shared" si="4"/>
        <v>245.7</v>
      </c>
      <c r="H9" s="6">
        <f t="shared" si="4"/>
        <v>284.7</v>
      </c>
      <c r="I9" s="6">
        <f t="shared" si="4"/>
        <v>348.6</v>
      </c>
      <c r="J9" s="6">
        <f t="shared" si="4"/>
        <v>390.6</v>
      </c>
      <c r="K9" s="6">
        <f t="shared" si="4"/>
        <v>463.5</v>
      </c>
      <c r="L9" s="6">
        <f t="shared" si="4"/>
        <v>508.5</v>
      </c>
      <c r="M9" s="6">
        <f t="shared" si="4"/>
        <v>553.5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9</v>
      </c>
      <c r="B10" s="8">
        <v>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47</v>
      </c>
      <c r="B11" s="11">
        <f t="shared" ref="B11:M11" si="5">(0.6+B20*0.05*B8)*0.8</f>
        <v>16.86</v>
      </c>
      <c r="C11" s="11">
        <f t="shared" si="5"/>
        <v>41.052</v>
      </c>
      <c r="D11" s="11">
        <f t="shared" si="5"/>
        <v>75.324</v>
      </c>
      <c r="E11" s="11">
        <f t="shared" si="5"/>
        <v>119.676</v>
      </c>
      <c r="F11" s="11">
        <f t="shared" si="5"/>
        <v>160.752</v>
      </c>
      <c r="G11" s="11">
        <f t="shared" si="5"/>
        <v>206.868</v>
      </c>
      <c r="H11" s="11">
        <f t="shared" si="5"/>
        <v>239.628</v>
      </c>
      <c r="I11" s="11">
        <f t="shared" si="5"/>
        <v>293.304</v>
      </c>
      <c r="J11" s="11">
        <f t="shared" si="5"/>
        <v>328.584</v>
      </c>
      <c r="K11" s="11">
        <f t="shared" si="5"/>
        <v>389.82</v>
      </c>
      <c r="L11" s="11">
        <f t="shared" si="5"/>
        <v>427.62</v>
      </c>
      <c r="M11" s="11">
        <f t="shared" si="5"/>
        <v>465.42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11</v>
      </c>
      <c r="B12" s="11">
        <f t="shared" ref="B12:M12" si="6">B5*B6+B10+B11</f>
        <v>918.86</v>
      </c>
      <c r="C12" s="11">
        <f t="shared" si="6"/>
        <v>1283.052</v>
      </c>
      <c r="D12" s="11">
        <f t="shared" si="6"/>
        <v>1857.324</v>
      </c>
      <c r="E12" s="11">
        <f t="shared" si="6"/>
        <v>2441.676</v>
      </c>
      <c r="F12" s="11">
        <f t="shared" si="6"/>
        <v>3022.752</v>
      </c>
      <c r="G12" s="11">
        <f t="shared" si="6"/>
        <v>3608.868</v>
      </c>
      <c r="H12" s="11">
        <f t="shared" si="6"/>
        <v>4181.628</v>
      </c>
      <c r="I12" s="11">
        <f t="shared" si="6"/>
        <v>4775.304</v>
      </c>
      <c r="J12" s="11">
        <f t="shared" si="6"/>
        <v>5350.584</v>
      </c>
      <c r="K12" s="11">
        <f t="shared" si="6"/>
        <v>5951.82</v>
      </c>
      <c r="L12" s="11">
        <f t="shared" si="6"/>
        <v>6529.62</v>
      </c>
      <c r="M12" s="11">
        <f t="shared" si="6"/>
        <v>7107.42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44</v>
      </c>
      <c r="B13" s="6">
        <f t="shared" ref="B13:M13" si="7">B12/B4</f>
        <v>30.62866667</v>
      </c>
      <c r="C13" s="6">
        <f t="shared" si="7"/>
        <v>42.7684</v>
      </c>
      <c r="D13" s="6">
        <f t="shared" si="7"/>
        <v>61.9108</v>
      </c>
      <c r="E13" s="6">
        <f t="shared" si="7"/>
        <v>81.3892</v>
      </c>
      <c r="F13" s="6">
        <f t="shared" si="7"/>
        <v>100.7584</v>
      </c>
      <c r="G13" s="6">
        <f t="shared" si="7"/>
        <v>120.2956</v>
      </c>
      <c r="H13" s="6">
        <f t="shared" si="7"/>
        <v>139.3876</v>
      </c>
      <c r="I13" s="6">
        <f t="shared" si="7"/>
        <v>159.1768</v>
      </c>
      <c r="J13" s="6">
        <f t="shared" si="7"/>
        <v>178.3528</v>
      </c>
      <c r="K13" s="6">
        <f t="shared" si="7"/>
        <v>198.394</v>
      </c>
      <c r="L13" s="6">
        <f t="shared" si="7"/>
        <v>217.654</v>
      </c>
      <c r="M13" s="6">
        <f t="shared" si="7"/>
        <v>236.914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12</v>
      </c>
      <c r="B14" s="6">
        <f t="shared" ref="B14:M14" si="8">B12/B9</f>
        <v>47.12102564</v>
      </c>
      <c r="C14" s="6">
        <f t="shared" si="8"/>
        <v>26.5642236</v>
      </c>
      <c r="D14" s="6">
        <f t="shared" si="8"/>
        <v>20.84538721</v>
      </c>
      <c r="E14" s="6">
        <f t="shared" si="8"/>
        <v>17.20701903</v>
      </c>
      <c r="F14" s="6">
        <f t="shared" si="8"/>
        <v>15.84251572</v>
      </c>
      <c r="G14" s="6">
        <f t="shared" si="8"/>
        <v>14.68810745</v>
      </c>
      <c r="H14" s="6">
        <f t="shared" si="8"/>
        <v>14.68783983</v>
      </c>
      <c r="I14" s="6">
        <f t="shared" si="8"/>
        <v>13.69851979</v>
      </c>
      <c r="J14" s="6">
        <f t="shared" si="8"/>
        <v>13.69837174</v>
      </c>
      <c r="K14" s="6">
        <f t="shared" si="8"/>
        <v>12.8410356</v>
      </c>
      <c r="L14" s="6">
        <f t="shared" si="8"/>
        <v>12.84094395</v>
      </c>
      <c r="M14" s="6">
        <f t="shared" si="8"/>
        <v>12.84086721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13</v>
      </c>
      <c r="B15" s="6">
        <f t="shared" ref="B15:M15" si="9">B16+B17</f>
        <v>10.02</v>
      </c>
      <c r="C15" s="6">
        <f t="shared" si="9"/>
        <v>10.02</v>
      </c>
      <c r="D15" s="6">
        <f t="shared" si="9"/>
        <v>10.02</v>
      </c>
      <c r="E15" s="6">
        <f t="shared" si="9"/>
        <v>10.02</v>
      </c>
      <c r="F15" s="6">
        <f t="shared" si="9"/>
        <v>10.02</v>
      </c>
      <c r="G15" s="6">
        <f t="shared" si="9"/>
        <v>10.02</v>
      </c>
      <c r="H15" s="6">
        <f t="shared" si="9"/>
        <v>10.02</v>
      </c>
      <c r="I15" s="6">
        <f t="shared" si="9"/>
        <v>10.02</v>
      </c>
      <c r="J15" s="6">
        <f t="shared" si="9"/>
        <v>10.02</v>
      </c>
      <c r="K15" s="6">
        <f t="shared" si="9"/>
        <v>10.02</v>
      </c>
      <c r="L15" s="6">
        <f t="shared" si="9"/>
        <v>10.02</v>
      </c>
      <c r="M15" s="6">
        <f t="shared" si="9"/>
        <v>10.02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14</v>
      </c>
      <c r="B16" s="8">
        <v>3.87</v>
      </c>
      <c r="C16" s="8">
        <v>3.87</v>
      </c>
      <c r="D16" s="8">
        <v>3.87</v>
      </c>
      <c r="E16" s="8">
        <v>3.87</v>
      </c>
      <c r="F16" s="8">
        <v>3.87</v>
      </c>
      <c r="G16" s="8">
        <v>3.87</v>
      </c>
      <c r="H16" s="8">
        <v>3.87</v>
      </c>
      <c r="I16" s="8">
        <v>3.87</v>
      </c>
      <c r="J16" s="8">
        <v>3.87</v>
      </c>
      <c r="K16" s="8">
        <v>3.87</v>
      </c>
      <c r="L16" s="8">
        <v>3.87</v>
      </c>
      <c r="M16" s="8">
        <v>3.87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15</v>
      </c>
      <c r="B17" s="6">
        <f t="shared" ref="B17:M17" si="10">B18+B19</f>
        <v>6.15</v>
      </c>
      <c r="C17" s="6">
        <f t="shared" si="10"/>
        <v>6.15</v>
      </c>
      <c r="D17" s="6">
        <f t="shared" si="10"/>
        <v>6.15</v>
      </c>
      <c r="E17" s="6">
        <f t="shared" si="10"/>
        <v>6.15</v>
      </c>
      <c r="F17" s="6">
        <f t="shared" si="10"/>
        <v>6.15</v>
      </c>
      <c r="G17" s="6">
        <f t="shared" si="10"/>
        <v>6.15</v>
      </c>
      <c r="H17" s="6">
        <f t="shared" si="10"/>
        <v>6.15</v>
      </c>
      <c r="I17" s="6">
        <f t="shared" si="10"/>
        <v>6.15</v>
      </c>
      <c r="J17" s="6">
        <f t="shared" si="10"/>
        <v>6.15</v>
      </c>
      <c r="K17" s="6">
        <f t="shared" si="10"/>
        <v>6.15</v>
      </c>
      <c r="L17" s="6">
        <f t="shared" si="10"/>
        <v>6.15</v>
      </c>
      <c r="M17" s="6">
        <f t="shared" si="10"/>
        <v>6.15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16</v>
      </c>
      <c r="B18" s="6">
        <v>3.0</v>
      </c>
      <c r="C18" s="6">
        <v>3.0</v>
      </c>
      <c r="D18" s="6">
        <v>3.0</v>
      </c>
      <c r="E18" s="6">
        <v>3.0</v>
      </c>
      <c r="F18" s="6">
        <v>3.0</v>
      </c>
      <c r="G18" s="6">
        <v>3.0</v>
      </c>
      <c r="H18" s="6">
        <v>3.0</v>
      </c>
      <c r="I18" s="6">
        <v>3.0</v>
      </c>
      <c r="J18" s="6">
        <v>3.0</v>
      </c>
      <c r="K18" s="6">
        <v>3.0</v>
      </c>
      <c r="L18" s="6">
        <v>3.0</v>
      </c>
      <c r="M18" s="6">
        <v>3.0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17</v>
      </c>
      <c r="B19" s="6">
        <f t="shared" ref="B19:M19" si="11">B20*0.15</f>
        <v>3.15</v>
      </c>
      <c r="C19" s="6">
        <f t="shared" si="11"/>
        <v>3.15</v>
      </c>
      <c r="D19" s="6">
        <f t="shared" si="11"/>
        <v>3.15</v>
      </c>
      <c r="E19" s="6">
        <f t="shared" si="11"/>
        <v>3.15</v>
      </c>
      <c r="F19" s="6">
        <f t="shared" si="11"/>
        <v>3.15</v>
      </c>
      <c r="G19" s="6">
        <f t="shared" si="11"/>
        <v>3.15</v>
      </c>
      <c r="H19" s="6">
        <f t="shared" si="11"/>
        <v>3.15</v>
      </c>
      <c r="I19" s="6">
        <f t="shared" si="11"/>
        <v>3.15</v>
      </c>
      <c r="J19" s="6">
        <f t="shared" si="11"/>
        <v>3.15</v>
      </c>
      <c r="K19" s="6">
        <f t="shared" si="11"/>
        <v>3.15</v>
      </c>
      <c r="L19" s="6">
        <f t="shared" si="11"/>
        <v>3.15</v>
      </c>
      <c r="M19" s="6">
        <f t="shared" si="11"/>
        <v>3.15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 t="s">
        <v>18</v>
      </c>
      <c r="B20" s="23">
        <v>21.0</v>
      </c>
      <c r="C20" s="23">
        <v>21.0</v>
      </c>
      <c r="D20" s="23">
        <v>21.0</v>
      </c>
      <c r="E20" s="23">
        <v>21.0</v>
      </c>
      <c r="F20" s="23">
        <v>21.0</v>
      </c>
      <c r="G20" s="23">
        <v>21.0</v>
      </c>
      <c r="H20" s="23">
        <v>21.0</v>
      </c>
      <c r="I20" s="23">
        <v>21.0</v>
      </c>
      <c r="J20" s="23">
        <v>21.0</v>
      </c>
      <c r="K20" s="23">
        <v>21.0</v>
      </c>
      <c r="L20" s="23">
        <v>21.0</v>
      </c>
      <c r="M20" s="23">
        <v>21.0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19</v>
      </c>
      <c r="B21" s="6">
        <f t="shared" ref="B21:M21" si="12">B20-B15-B14</f>
        <v>-36.14102564</v>
      </c>
      <c r="C21" s="6">
        <f t="shared" si="12"/>
        <v>-15.5842236</v>
      </c>
      <c r="D21" s="6">
        <f t="shared" si="12"/>
        <v>-9.865387205</v>
      </c>
      <c r="E21" s="6">
        <f t="shared" si="12"/>
        <v>-6.227019027</v>
      </c>
      <c r="F21" s="6">
        <f t="shared" si="12"/>
        <v>-4.862515723</v>
      </c>
      <c r="G21" s="6">
        <f t="shared" si="12"/>
        <v>-3.708107448</v>
      </c>
      <c r="H21" s="6">
        <f t="shared" si="12"/>
        <v>-3.707839831</v>
      </c>
      <c r="I21" s="6">
        <f t="shared" si="12"/>
        <v>-2.718519793</v>
      </c>
      <c r="J21" s="6">
        <f t="shared" si="12"/>
        <v>-2.718371736</v>
      </c>
      <c r="K21" s="6">
        <f t="shared" si="12"/>
        <v>-1.861035599</v>
      </c>
      <c r="L21" s="6">
        <f t="shared" si="12"/>
        <v>-1.860943953</v>
      </c>
      <c r="M21" s="6">
        <f t="shared" si="12"/>
        <v>-1.860867209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20</v>
      </c>
      <c r="B22" s="6">
        <f t="shared" ref="B22:M22" si="13">B20-B15</f>
        <v>10.98</v>
      </c>
      <c r="C22" s="6">
        <f t="shared" si="13"/>
        <v>10.98</v>
      </c>
      <c r="D22" s="6">
        <f t="shared" si="13"/>
        <v>10.98</v>
      </c>
      <c r="E22" s="6">
        <f t="shared" si="13"/>
        <v>10.98</v>
      </c>
      <c r="F22" s="6">
        <f t="shared" si="13"/>
        <v>10.98</v>
      </c>
      <c r="G22" s="6">
        <f t="shared" si="13"/>
        <v>10.98</v>
      </c>
      <c r="H22" s="6">
        <f t="shared" si="13"/>
        <v>10.98</v>
      </c>
      <c r="I22" s="6">
        <f t="shared" si="13"/>
        <v>10.98</v>
      </c>
      <c r="J22" s="6">
        <f t="shared" si="13"/>
        <v>10.98</v>
      </c>
      <c r="K22" s="6">
        <f t="shared" si="13"/>
        <v>10.98</v>
      </c>
      <c r="L22" s="6">
        <f t="shared" si="13"/>
        <v>10.98</v>
      </c>
      <c r="M22" s="6">
        <f t="shared" si="13"/>
        <v>10.98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21</v>
      </c>
      <c r="B23" s="6">
        <f t="shared" ref="B23:M23" si="14">B24/B12</f>
        <v>0.4456609277</v>
      </c>
      <c r="C23" s="6">
        <f t="shared" si="14"/>
        <v>0.7905369385</v>
      </c>
      <c r="D23" s="6">
        <f t="shared" si="14"/>
        <v>1.007417123</v>
      </c>
      <c r="E23" s="6">
        <f t="shared" si="14"/>
        <v>1.220432195</v>
      </c>
      <c r="F23" s="6">
        <f t="shared" si="14"/>
        <v>1.325547051</v>
      </c>
      <c r="G23" s="6">
        <f t="shared" si="14"/>
        <v>1.429728103</v>
      </c>
      <c r="H23" s="6">
        <f t="shared" si="14"/>
        <v>1.429754153</v>
      </c>
      <c r="I23" s="6">
        <f t="shared" si="14"/>
        <v>1.533012349</v>
      </c>
      <c r="J23" s="6">
        <f t="shared" si="14"/>
        <v>1.533028918</v>
      </c>
      <c r="K23" s="6">
        <f t="shared" si="14"/>
        <v>1.635382118</v>
      </c>
      <c r="L23" s="6">
        <f t="shared" si="14"/>
        <v>1.63539379</v>
      </c>
      <c r="M23" s="6">
        <f t="shared" si="14"/>
        <v>1.635403564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22</v>
      </c>
      <c r="B24" s="6">
        <f t="shared" ref="B24:M24" si="15">B8*B20</f>
        <v>409.5</v>
      </c>
      <c r="C24" s="6">
        <f t="shared" si="15"/>
        <v>1014.3</v>
      </c>
      <c r="D24" s="6">
        <f t="shared" si="15"/>
        <v>1871.1</v>
      </c>
      <c r="E24" s="6">
        <f t="shared" si="15"/>
        <v>2979.9</v>
      </c>
      <c r="F24" s="6">
        <f t="shared" si="15"/>
        <v>4006.8</v>
      </c>
      <c r="G24" s="6">
        <f t="shared" si="15"/>
        <v>5159.7</v>
      </c>
      <c r="H24" s="6">
        <f t="shared" si="15"/>
        <v>5978.7</v>
      </c>
      <c r="I24" s="6">
        <f t="shared" si="15"/>
        <v>7320.6</v>
      </c>
      <c r="J24" s="6">
        <f t="shared" si="15"/>
        <v>8202.6</v>
      </c>
      <c r="K24" s="6">
        <f t="shared" si="15"/>
        <v>9733.5</v>
      </c>
      <c r="L24" s="6">
        <f t="shared" si="15"/>
        <v>10678.5</v>
      </c>
      <c r="M24" s="6">
        <f t="shared" si="15"/>
        <v>11623.5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23</v>
      </c>
      <c r="B25" s="6">
        <f t="shared" ref="B25:M25" si="16">B24-(B8*B15)</f>
        <v>214.11</v>
      </c>
      <c r="C25" s="6">
        <f t="shared" si="16"/>
        <v>530.334</v>
      </c>
      <c r="D25" s="6">
        <f t="shared" si="16"/>
        <v>978.318</v>
      </c>
      <c r="E25" s="6">
        <f t="shared" si="16"/>
        <v>1558.062</v>
      </c>
      <c r="F25" s="6">
        <f t="shared" si="16"/>
        <v>2094.984</v>
      </c>
      <c r="G25" s="6">
        <f t="shared" si="16"/>
        <v>2697.786</v>
      </c>
      <c r="H25" s="6">
        <f t="shared" si="16"/>
        <v>3126.006</v>
      </c>
      <c r="I25" s="6">
        <f t="shared" si="16"/>
        <v>3827.628</v>
      </c>
      <c r="J25" s="6">
        <f t="shared" si="16"/>
        <v>4288.788</v>
      </c>
      <c r="K25" s="6">
        <f t="shared" si="16"/>
        <v>5089.23</v>
      </c>
      <c r="L25" s="6">
        <f t="shared" si="16"/>
        <v>5583.33</v>
      </c>
      <c r="M25" s="6">
        <f t="shared" si="16"/>
        <v>6077.43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24</v>
      </c>
      <c r="B26" s="5">
        <f t="shared" ref="B26:M26" si="17">B25-B12</f>
        <v>-704.75</v>
      </c>
      <c r="C26" s="5">
        <f t="shared" si="17"/>
        <v>-752.718</v>
      </c>
      <c r="D26" s="5">
        <f t="shared" si="17"/>
        <v>-879.006</v>
      </c>
      <c r="E26" s="5">
        <f t="shared" si="17"/>
        <v>-883.614</v>
      </c>
      <c r="F26" s="5">
        <f t="shared" si="17"/>
        <v>-927.768</v>
      </c>
      <c r="G26" s="5">
        <f t="shared" si="17"/>
        <v>-911.082</v>
      </c>
      <c r="H26" s="5">
        <f t="shared" si="17"/>
        <v>-1055.622</v>
      </c>
      <c r="I26" s="5">
        <f t="shared" si="17"/>
        <v>-947.676</v>
      </c>
      <c r="J26" s="5">
        <f t="shared" si="17"/>
        <v>-1061.796</v>
      </c>
      <c r="K26" s="5">
        <f t="shared" si="17"/>
        <v>-862.59</v>
      </c>
      <c r="L26" s="5">
        <f t="shared" si="17"/>
        <v>-946.29</v>
      </c>
      <c r="M26" s="5">
        <f t="shared" si="17"/>
        <v>-1029.99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4" t="s">
        <v>25</v>
      </c>
      <c r="B27" s="14"/>
      <c r="C27" s="14"/>
      <c r="D27" s="15">
        <v>0.15</v>
      </c>
      <c r="E27" s="15">
        <v>0.15</v>
      </c>
      <c r="F27" s="15">
        <v>0.15</v>
      </c>
      <c r="G27" s="15">
        <v>0.15</v>
      </c>
      <c r="H27" s="15">
        <v>0.15</v>
      </c>
      <c r="I27" s="15">
        <v>0.15</v>
      </c>
      <c r="J27" s="15">
        <v>0.15</v>
      </c>
      <c r="K27" s="15">
        <v>0.15</v>
      </c>
      <c r="L27" s="15">
        <v>0.15</v>
      </c>
      <c r="M27" s="15">
        <v>0.15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26</v>
      </c>
      <c r="B28" s="14"/>
      <c r="C28" s="14"/>
      <c r="D28" s="6">
        <f t="shared" ref="D28:M28" si="18">(B9*D22)+(B9*D27*D22)</f>
        <v>246.2265</v>
      </c>
      <c r="E28" s="6">
        <f t="shared" si="18"/>
        <v>609.8841</v>
      </c>
      <c r="F28" s="6">
        <f t="shared" si="18"/>
        <v>1125.0657</v>
      </c>
      <c r="G28" s="6">
        <f t="shared" si="18"/>
        <v>1791.7713</v>
      </c>
      <c r="H28" s="6">
        <f t="shared" si="18"/>
        <v>2409.2316</v>
      </c>
      <c r="I28" s="6">
        <f t="shared" si="18"/>
        <v>3102.4539</v>
      </c>
      <c r="J28" s="6">
        <f t="shared" si="18"/>
        <v>3594.9069</v>
      </c>
      <c r="K28" s="6">
        <f t="shared" si="18"/>
        <v>4401.7722</v>
      </c>
      <c r="L28" s="6">
        <f t="shared" si="18"/>
        <v>4932.1062</v>
      </c>
      <c r="M28" s="6">
        <f t="shared" si="18"/>
        <v>5852.6145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27</v>
      </c>
      <c r="B29" s="14"/>
      <c r="C29" s="14"/>
      <c r="D29" s="14"/>
      <c r="E29" s="14"/>
      <c r="F29" s="15">
        <v>0.08</v>
      </c>
      <c r="G29" s="15">
        <v>0.08</v>
      </c>
      <c r="H29" s="15">
        <v>0.08</v>
      </c>
      <c r="I29" s="15">
        <v>0.08</v>
      </c>
      <c r="J29" s="15">
        <v>0.08</v>
      </c>
      <c r="K29" s="15">
        <v>0.08</v>
      </c>
      <c r="L29" s="15">
        <v>0.08</v>
      </c>
      <c r="M29" s="15">
        <v>0.08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28</v>
      </c>
      <c r="B30" s="14"/>
      <c r="C30" s="14"/>
      <c r="D30" s="14"/>
      <c r="E30" s="14"/>
      <c r="F30" s="6">
        <f t="shared" ref="F30:M30" si="19">(B9*F15)+(B9*F27*F29*F22)</f>
        <v>197.95932</v>
      </c>
      <c r="G30" s="6">
        <f t="shared" si="19"/>
        <v>490.330008</v>
      </c>
      <c r="H30" s="6">
        <f t="shared" si="19"/>
        <v>904.521816</v>
      </c>
      <c r="I30" s="6">
        <f t="shared" si="19"/>
        <v>1440.534744</v>
      </c>
      <c r="J30" s="6">
        <f t="shared" si="19"/>
        <v>1936.955808</v>
      </c>
      <c r="K30" s="6">
        <f t="shared" si="19"/>
        <v>2494.287432</v>
      </c>
      <c r="L30" s="6">
        <f t="shared" si="19"/>
        <v>2890.206072</v>
      </c>
      <c r="M30" s="6">
        <f t="shared" si="19"/>
        <v>3538.903536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29</v>
      </c>
      <c r="B31" s="16">
        <f t="shared" ref="B31:M31" si="20">(B30+B28)-B12</f>
        <v>-918.86</v>
      </c>
      <c r="C31" s="16">
        <f t="shared" si="20"/>
        <v>-1283.052</v>
      </c>
      <c r="D31" s="16">
        <f t="shared" si="20"/>
        <v>-1611.0975</v>
      </c>
      <c r="E31" s="16">
        <f t="shared" si="20"/>
        <v>-1831.7919</v>
      </c>
      <c r="F31" s="16">
        <f t="shared" si="20"/>
        <v>-1699.72698</v>
      </c>
      <c r="G31" s="16">
        <f t="shared" si="20"/>
        <v>-1326.766692</v>
      </c>
      <c r="H31" s="16">
        <f t="shared" si="20"/>
        <v>-867.874584</v>
      </c>
      <c r="I31" s="16">
        <f t="shared" si="20"/>
        <v>-232.315356</v>
      </c>
      <c r="J31" s="16">
        <f t="shared" si="20"/>
        <v>181.278708</v>
      </c>
      <c r="K31" s="16">
        <f t="shared" si="20"/>
        <v>944.239632</v>
      </c>
      <c r="L31" s="16">
        <f t="shared" si="20"/>
        <v>1292.692272</v>
      </c>
      <c r="M31" s="16">
        <f t="shared" si="20"/>
        <v>2284.098036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30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31</v>
      </c>
      <c r="B33" s="5">
        <v>5.0</v>
      </c>
      <c r="C33" s="5">
        <v>10.0</v>
      </c>
      <c r="D33" s="5">
        <v>15.0</v>
      </c>
      <c r="E33" s="5">
        <v>20.0</v>
      </c>
      <c r="F33" s="5">
        <v>25.0</v>
      </c>
      <c r="G33" s="5">
        <v>30.0</v>
      </c>
      <c r="H33" s="5">
        <v>35.0</v>
      </c>
      <c r="I33" s="5">
        <v>40.0</v>
      </c>
      <c r="J33" s="5">
        <v>45.0</v>
      </c>
      <c r="K33" s="5">
        <v>50.0</v>
      </c>
      <c r="L33" s="5">
        <v>55.0</v>
      </c>
      <c r="M33" s="5">
        <v>60.0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32</v>
      </c>
      <c r="B34" s="6">
        <f t="shared" ref="B34:M34" si="21">B8*B33/100</f>
        <v>0.975</v>
      </c>
      <c r="C34" s="6">
        <f t="shared" si="21"/>
        <v>4.83</v>
      </c>
      <c r="D34" s="6">
        <f t="shared" si="21"/>
        <v>13.365</v>
      </c>
      <c r="E34" s="6">
        <f t="shared" si="21"/>
        <v>28.38</v>
      </c>
      <c r="F34" s="6">
        <f t="shared" si="21"/>
        <v>47.7</v>
      </c>
      <c r="G34" s="6">
        <f t="shared" si="21"/>
        <v>73.71</v>
      </c>
      <c r="H34" s="6">
        <f t="shared" si="21"/>
        <v>99.645</v>
      </c>
      <c r="I34" s="6">
        <f t="shared" si="21"/>
        <v>139.44</v>
      </c>
      <c r="J34" s="6">
        <f t="shared" si="21"/>
        <v>175.77</v>
      </c>
      <c r="K34" s="6">
        <f t="shared" si="21"/>
        <v>231.75</v>
      </c>
      <c r="L34" s="6">
        <f t="shared" si="21"/>
        <v>279.675</v>
      </c>
      <c r="M34" s="6">
        <f t="shared" si="21"/>
        <v>332.1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33</v>
      </c>
      <c r="B35" s="6">
        <f t="shared" ref="B35:M35" si="22">B34</f>
        <v>0.975</v>
      </c>
      <c r="C35" s="6">
        <f t="shared" si="22"/>
        <v>4.83</v>
      </c>
      <c r="D35" s="6">
        <f t="shared" si="22"/>
        <v>13.365</v>
      </c>
      <c r="E35" s="6">
        <f t="shared" si="22"/>
        <v>28.38</v>
      </c>
      <c r="F35" s="6">
        <f t="shared" si="22"/>
        <v>47.7</v>
      </c>
      <c r="G35" s="6">
        <f t="shared" si="22"/>
        <v>73.71</v>
      </c>
      <c r="H35" s="6">
        <f t="shared" si="22"/>
        <v>99.645</v>
      </c>
      <c r="I35" s="6">
        <f t="shared" si="22"/>
        <v>139.44</v>
      </c>
      <c r="J35" s="6">
        <f t="shared" si="22"/>
        <v>175.77</v>
      </c>
      <c r="K35" s="6">
        <f t="shared" si="22"/>
        <v>231.75</v>
      </c>
      <c r="L35" s="6">
        <f t="shared" si="22"/>
        <v>279.675</v>
      </c>
      <c r="M35" s="6">
        <f t="shared" si="22"/>
        <v>332.1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34</v>
      </c>
      <c r="B36" s="6">
        <f t="shared" ref="B36:M36" si="23">B37+B38</f>
        <v>10.02</v>
      </c>
      <c r="C36" s="6">
        <f t="shared" si="23"/>
        <v>10.02</v>
      </c>
      <c r="D36" s="6">
        <f t="shared" si="23"/>
        <v>10.02</v>
      </c>
      <c r="E36" s="6">
        <f t="shared" si="23"/>
        <v>10.02</v>
      </c>
      <c r="F36" s="6">
        <f t="shared" si="23"/>
        <v>10.02</v>
      </c>
      <c r="G36" s="6">
        <f t="shared" si="23"/>
        <v>10.02</v>
      </c>
      <c r="H36" s="6">
        <f t="shared" si="23"/>
        <v>10.02</v>
      </c>
      <c r="I36" s="6">
        <f t="shared" si="23"/>
        <v>10.02</v>
      </c>
      <c r="J36" s="6">
        <f t="shared" si="23"/>
        <v>10.02</v>
      </c>
      <c r="K36" s="6">
        <f t="shared" si="23"/>
        <v>10.02</v>
      </c>
      <c r="L36" s="6">
        <f t="shared" si="23"/>
        <v>10.02</v>
      </c>
      <c r="M36" s="6">
        <f t="shared" si="23"/>
        <v>10.02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14</v>
      </c>
      <c r="B37" s="5">
        <f t="shared" ref="B37:M37" si="24">B16</f>
        <v>3.87</v>
      </c>
      <c r="C37" s="5">
        <f t="shared" si="24"/>
        <v>3.87</v>
      </c>
      <c r="D37" s="5">
        <f t="shared" si="24"/>
        <v>3.87</v>
      </c>
      <c r="E37" s="5">
        <f t="shared" si="24"/>
        <v>3.87</v>
      </c>
      <c r="F37" s="5">
        <f t="shared" si="24"/>
        <v>3.87</v>
      </c>
      <c r="G37" s="5">
        <f t="shared" si="24"/>
        <v>3.87</v>
      </c>
      <c r="H37" s="5">
        <f t="shared" si="24"/>
        <v>3.87</v>
      </c>
      <c r="I37" s="5">
        <f t="shared" si="24"/>
        <v>3.87</v>
      </c>
      <c r="J37" s="5">
        <f t="shared" si="24"/>
        <v>3.87</v>
      </c>
      <c r="K37" s="5">
        <f t="shared" si="24"/>
        <v>3.87</v>
      </c>
      <c r="L37" s="5">
        <f t="shared" si="24"/>
        <v>3.87</v>
      </c>
      <c r="M37" s="5">
        <f t="shared" si="24"/>
        <v>3.87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15</v>
      </c>
      <c r="B38" s="6">
        <f t="shared" ref="B38:M38" si="25">B17</f>
        <v>6.15</v>
      </c>
      <c r="C38" s="6">
        <f t="shared" si="25"/>
        <v>6.15</v>
      </c>
      <c r="D38" s="6">
        <f t="shared" si="25"/>
        <v>6.15</v>
      </c>
      <c r="E38" s="6">
        <f t="shared" si="25"/>
        <v>6.15</v>
      </c>
      <c r="F38" s="6">
        <f t="shared" si="25"/>
        <v>6.15</v>
      </c>
      <c r="G38" s="6">
        <f t="shared" si="25"/>
        <v>6.15</v>
      </c>
      <c r="H38" s="6">
        <f t="shared" si="25"/>
        <v>6.15</v>
      </c>
      <c r="I38" s="6">
        <f t="shared" si="25"/>
        <v>6.15</v>
      </c>
      <c r="J38" s="6">
        <f t="shared" si="25"/>
        <v>6.15</v>
      </c>
      <c r="K38" s="6">
        <f t="shared" si="25"/>
        <v>6.15</v>
      </c>
      <c r="L38" s="6">
        <f t="shared" si="25"/>
        <v>6.15</v>
      </c>
      <c r="M38" s="6">
        <f t="shared" si="25"/>
        <v>6.15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16</v>
      </c>
      <c r="B39" s="6">
        <f t="shared" ref="B39:M39" si="26">B18</f>
        <v>3</v>
      </c>
      <c r="C39" s="6">
        <f t="shared" si="26"/>
        <v>3</v>
      </c>
      <c r="D39" s="6">
        <f t="shared" si="26"/>
        <v>3</v>
      </c>
      <c r="E39" s="6">
        <f t="shared" si="26"/>
        <v>3</v>
      </c>
      <c r="F39" s="6">
        <f t="shared" si="26"/>
        <v>3</v>
      </c>
      <c r="G39" s="6">
        <f t="shared" si="26"/>
        <v>3</v>
      </c>
      <c r="H39" s="6">
        <f t="shared" si="26"/>
        <v>3</v>
      </c>
      <c r="I39" s="6">
        <f t="shared" si="26"/>
        <v>3</v>
      </c>
      <c r="J39" s="6">
        <f t="shared" si="26"/>
        <v>3</v>
      </c>
      <c r="K39" s="6">
        <f t="shared" si="26"/>
        <v>3</v>
      </c>
      <c r="L39" s="6">
        <f t="shared" si="26"/>
        <v>3</v>
      </c>
      <c r="M39" s="6">
        <f t="shared" si="26"/>
        <v>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17</v>
      </c>
      <c r="B40" s="6">
        <f t="shared" ref="B40:M40" si="27">B19</f>
        <v>3.15</v>
      </c>
      <c r="C40" s="6">
        <f t="shared" si="27"/>
        <v>3.15</v>
      </c>
      <c r="D40" s="6">
        <f t="shared" si="27"/>
        <v>3.15</v>
      </c>
      <c r="E40" s="6">
        <f t="shared" si="27"/>
        <v>3.15</v>
      </c>
      <c r="F40" s="6">
        <f t="shared" si="27"/>
        <v>3.15</v>
      </c>
      <c r="G40" s="6">
        <f t="shared" si="27"/>
        <v>3.15</v>
      </c>
      <c r="H40" s="6">
        <f t="shared" si="27"/>
        <v>3.15</v>
      </c>
      <c r="I40" s="6">
        <f t="shared" si="27"/>
        <v>3.15</v>
      </c>
      <c r="J40" s="6">
        <f t="shared" si="27"/>
        <v>3.15</v>
      </c>
      <c r="K40" s="6">
        <f t="shared" si="27"/>
        <v>3.15</v>
      </c>
      <c r="L40" s="6">
        <f t="shared" si="27"/>
        <v>3.15</v>
      </c>
      <c r="M40" s="6">
        <f t="shared" si="27"/>
        <v>3.15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18</v>
      </c>
      <c r="B41" s="5">
        <f t="shared" ref="B41:M41" si="28">B20</f>
        <v>21</v>
      </c>
      <c r="C41" s="5">
        <f t="shared" si="28"/>
        <v>21</v>
      </c>
      <c r="D41" s="5">
        <f t="shared" si="28"/>
        <v>21</v>
      </c>
      <c r="E41" s="5">
        <f t="shared" si="28"/>
        <v>21</v>
      </c>
      <c r="F41" s="5">
        <f t="shared" si="28"/>
        <v>21</v>
      </c>
      <c r="G41" s="5">
        <f t="shared" si="28"/>
        <v>21</v>
      </c>
      <c r="H41" s="5">
        <f t="shared" si="28"/>
        <v>21</v>
      </c>
      <c r="I41" s="5">
        <f t="shared" si="28"/>
        <v>21</v>
      </c>
      <c r="J41" s="5">
        <f t="shared" si="28"/>
        <v>21</v>
      </c>
      <c r="K41" s="5">
        <f t="shared" si="28"/>
        <v>21</v>
      </c>
      <c r="L41" s="5">
        <f t="shared" si="28"/>
        <v>21</v>
      </c>
      <c r="M41" s="5">
        <f t="shared" si="28"/>
        <v>21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35</v>
      </c>
      <c r="B42" s="6">
        <f t="shared" ref="B42:M42" si="29">B41-B36</f>
        <v>10.98</v>
      </c>
      <c r="C42" s="6">
        <f t="shared" si="29"/>
        <v>10.98</v>
      </c>
      <c r="D42" s="6">
        <f t="shared" si="29"/>
        <v>10.98</v>
      </c>
      <c r="E42" s="6">
        <f t="shared" si="29"/>
        <v>10.98</v>
      </c>
      <c r="F42" s="6">
        <f t="shared" si="29"/>
        <v>10.98</v>
      </c>
      <c r="G42" s="6">
        <f t="shared" si="29"/>
        <v>10.98</v>
      </c>
      <c r="H42" s="6">
        <f t="shared" si="29"/>
        <v>10.98</v>
      </c>
      <c r="I42" s="6">
        <f t="shared" si="29"/>
        <v>10.98</v>
      </c>
      <c r="J42" s="6">
        <f t="shared" si="29"/>
        <v>10.98</v>
      </c>
      <c r="K42" s="6">
        <f t="shared" si="29"/>
        <v>10.98</v>
      </c>
      <c r="L42" s="6">
        <f t="shared" si="29"/>
        <v>10.98</v>
      </c>
      <c r="M42" s="6">
        <f t="shared" si="29"/>
        <v>10.98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22</v>
      </c>
      <c r="B43" s="6">
        <f t="shared" ref="B43:M43" si="30">B41*B34</f>
        <v>20.475</v>
      </c>
      <c r="C43" s="6">
        <f t="shared" si="30"/>
        <v>101.43</v>
      </c>
      <c r="D43" s="6">
        <f t="shared" si="30"/>
        <v>280.665</v>
      </c>
      <c r="E43" s="6">
        <f t="shared" si="30"/>
        <v>595.98</v>
      </c>
      <c r="F43" s="6">
        <f t="shared" si="30"/>
        <v>1001.7</v>
      </c>
      <c r="G43" s="6">
        <f t="shared" si="30"/>
        <v>1547.91</v>
      </c>
      <c r="H43" s="6">
        <f t="shared" si="30"/>
        <v>2092.545</v>
      </c>
      <c r="I43" s="6">
        <f t="shared" si="30"/>
        <v>2928.24</v>
      </c>
      <c r="J43" s="6">
        <f t="shared" si="30"/>
        <v>3691.17</v>
      </c>
      <c r="K43" s="6">
        <f t="shared" si="30"/>
        <v>4866.75</v>
      </c>
      <c r="L43" s="6">
        <f t="shared" si="30"/>
        <v>5873.175</v>
      </c>
      <c r="M43" s="6">
        <f t="shared" si="30"/>
        <v>6974.1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23</v>
      </c>
      <c r="B44" s="6">
        <f t="shared" ref="B44:M44" si="31">B34*(B41-B36)</f>
        <v>10.7055</v>
      </c>
      <c r="C44" s="6">
        <f t="shared" si="31"/>
        <v>53.0334</v>
      </c>
      <c r="D44" s="6">
        <f t="shared" si="31"/>
        <v>146.7477</v>
      </c>
      <c r="E44" s="6">
        <f t="shared" si="31"/>
        <v>311.6124</v>
      </c>
      <c r="F44" s="6">
        <f t="shared" si="31"/>
        <v>523.746</v>
      </c>
      <c r="G44" s="6">
        <f t="shared" si="31"/>
        <v>809.3358</v>
      </c>
      <c r="H44" s="6">
        <f t="shared" si="31"/>
        <v>1094.1021</v>
      </c>
      <c r="I44" s="6">
        <f t="shared" si="31"/>
        <v>1531.0512</v>
      </c>
      <c r="J44" s="6">
        <f t="shared" si="31"/>
        <v>1929.9546</v>
      </c>
      <c r="K44" s="6">
        <f t="shared" si="31"/>
        <v>2544.615</v>
      </c>
      <c r="L44" s="6">
        <f t="shared" si="31"/>
        <v>3070.8315</v>
      </c>
      <c r="M44" s="6">
        <f t="shared" si="31"/>
        <v>3646.458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36</v>
      </c>
      <c r="B45" s="5">
        <f t="shared" ref="B45:M45" si="32">B42*B34-3%</f>
        <v>10.6755</v>
      </c>
      <c r="C45" s="5">
        <f t="shared" si="32"/>
        <v>53.0034</v>
      </c>
      <c r="D45" s="5">
        <f t="shared" si="32"/>
        <v>146.7177</v>
      </c>
      <c r="E45" s="5">
        <f t="shared" si="32"/>
        <v>311.5824</v>
      </c>
      <c r="F45" s="5">
        <f t="shared" si="32"/>
        <v>523.716</v>
      </c>
      <c r="G45" s="5">
        <f t="shared" si="32"/>
        <v>809.3058</v>
      </c>
      <c r="H45" s="5">
        <f t="shared" si="32"/>
        <v>1094.0721</v>
      </c>
      <c r="I45" s="5">
        <f t="shared" si="32"/>
        <v>1531.0212</v>
      </c>
      <c r="J45" s="5">
        <f t="shared" si="32"/>
        <v>1929.9246</v>
      </c>
      <c r="K45" s="5">
        <f t="shared" si="32"/>
        <v>2544.585</v>
      </c>
      <c r="L45" s="5">
        <f t="shared" si="32"/>
        <v>3070.8015</v>
      </c>
      <c r="M45" s="5">
        <f t="shared" si="32"/>
        <v>3646.428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4" t="s">
        <v>25</v>
      </c>
      <c r="B46" s="14"/>
      <c r="C46" s="14"/>
      <c r="D46" s="6">
        <v>0.3</v>
      </c>
      <c r="E46" s="6">
        <v>0.3</v>
      </c>
      <c r="F46" s="6">
        <v>0.3</v>
      </c>
      <c r="G46" s="6">
        <v>0.3</v>
      </c>
      <c r="H46" s="6">
        <v>0.3</v>
      </c>
      <c r="I46" s="6">
        <v>0.3</v>
      </c>
      <c r="J46" s="6">
        <v>0.3</v>
      </c>
      <c r="K46" s="6">
        <v>0.3</v>
      </c>
      <c r="L46" s="6">
        <v>0.3</v>
      </c>
      <c r="M46" s="6">
        <v>0.3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26</v>
      </c>
      <c r="B47" s="14"/>
      <c r="C47" s="14"/>
      <c r="D47" s="6">
        <f t="shared" ref="D47:M47" si="33">(D42*(1+D46))*B35</f>
        <v>13.91715</v>
      </c>
      <c r="E47" s="6">
        <f t="shared" si="33"/>
        <v>68.94342</v>
      </c>
      <c r="F47" s="6">
        <f t="shared" si="33"/>
        <v>190.77201</v>
      </c>
      <c r="G47" s="6">
        <f t="shared" si="33"/>
        <v>405.09612</v>
      </c>
      <c r="H47" s="6">
        <f t="shared" si="33"/>
        <v>680.8698</v>
      </c>
      <c r="I47" s="6">
        <f t="shared" si="33"/>
        <v>1052.13654</v>
      </c>
      <c r="J47" s="6">
        <f t="shared" si="33"/>
        <v>1422.33273</v>
      </c>
      <c r="K47" s="6">
        <f t="shared" si="33"/>
        <v>1990.36656</v>
      </c>
      <c r="L47" s="6">
        <f t="shared" si="33"/>
        <v>2508.94098</v>
      </c>
      <c r="M47" s="6">
        <f t="shared" si="33"/>
        <v>3307.9995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27</v>
      </c>
      <c r="B48" s="14"/>
      <c r="C48" s="14"/>
      <c r="D48" s="14"/>
      <c r="E48" s="14"/>
      <c r="F48" s="6">
        <v>0.2</v>
      </c>
      <c r="G48" s="6">
        <v>0.2</v>
      </c>
      <c r="H48" s="6">
        <v>0.2</v>
      </c>
      <c r="I48" s="6">
        <v>0.2</v>
      </c>
      <c r="J48" s="6">
        <v>0.2</v>
      </c>
      <c r="K48" s="6">
        <v>0.2</v>
      </c>
      <c r="L48" s="6">
        <v>0.2</v>
      </c>
      <c r="M48" s="6">
        <v>0.2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28</v>
      </c>
      <c r="B49" s="14"/>
      <c r="C49" s="14"/>
      <c r="D49" s="14"/>
      <c r="E49" s="14"/>
      <c r="F49" s="6">
        <f t="shared" ref="F49:M49" si="34">(F42*(1+F46+F48)*B35)</f>
        <v>16.05825</v>
      </c>
      <c r="G49" s="6">
        <f t="shared" si="34"/>
        <v>79.5501</v>
      </c>
      <c r="H49" s="6">
        <f t="shared" si="34"/>
        <v>220.12155</v>
      </c>
      <c r="I49" s="6">
        <f t="shared" si="34"/>
        <v>467.4186</v>
      </c>
      <c r="J49" s="6">
        <f t="shared" si="34"/>
        <v>785.619</v>
      </c>
      <c r="K49" s="6">
        <f t="shared" si="34"/>
        <v>1214.0037</v>
      </c>
      <c r="L49" s="6">
        <f t="shared" si="34"/>
        <v>1641.15315</v>
      </c>
      <c r="M49" s="6">
        <f t="shared" si="34"/>
        <v>2296.5768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29</v>
      </c>
      <c r="B50" s="16">
        <f t="shared" ref="B50:M50" si="35">(B49+B47)</f>
        <v>0</v>
      </c>
      <c r="C50" s="16">
        <f t="shared" si="35"/>
        <v>0</v>
      </c>
      <c r="D50" s="16">
        <f t="shared" si="35"/>
        <v>13.91715</v>
      </c>
      <c r="E50" s="16">
        <f t="shared" si="35"/>
        <v>68.94342</v>
      </c>
      <c r="F50" s="16">
        <f t="shared" si="35"/>
        <v>206.83026</v>
      </c>
      <c r="G50" s="16">
        <f t="shared" si="35"/>
        <v>484.64622</v>
      </c>
      <c r="H50" s="16">
        <f t="shared" si="35"/>
        <v>900.99135</v>
      </c>
      <c r="I50" s="16">
        <f t="shared" si="35"/>
        <v>1519.55514</v>
      </c>
      <c r="J50" s="16">
        <f t="shared" si="35"/>
        <v>2207.95173</v>
      </c>
      <c r="K50" s="16">
        <f t="shared" si="35"/>
        <v>3204.37026</v>
      </c>
      <c r="L50" s="16">
        <f t="shared" si="35"/>
        <v>4150.09413</v>
      </c>
      <c r="M50" s="16">
        <f t="shared" si="35"/>
        <v>5604.5763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37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38</v>
      </c>
      <c r="B52" s="6">
        <f t="shared" ref="B52:M52" si="36">B8+B34</f>
        <v>20.475</v>
      </c>
      <c r="C52" s="6">
        <f t="shared" si="36"/>
        <v>53.13</v>
      </c>
      <c r="D52" s="6">
        <f t="shared" si="36"/>
        <v>102.465</v>
      </c>
      <c r="E52" s="6">
        <f t="shared" si="36"/>
        <v>170.28</v>
      </c>
      <c r="F52" s="6">
        <f t="shared" si="36"/>
        <v>238.5</v>
      </c>
      <c r="G52" s="6">
        <f t="shared" si="36"/>
        <v>319.41</v>
      </c>
      <c r="H52" s="6">
        <f t="shared" si="36"/>
        <v>384.345</v>
      </c>
      <c r="I52" s="6">
        <f t="shared" si="36"/>
        <v>488.04</v>
      </c>
      <c r="J52" s="6">
        <f t="shared" si="36"/>
        <v>566.37</v>
      </c>
      <c r="K52" s="6">
        <f t="shared" si="36"/>
        <v>695.25</v>
      </c>
      <c r="L52" s="6">
        <f t="shared" si="36"/>
        <v>788.175</v>
      </c>
      <c r="M52" s="6">
        <f t="shared" si="36"/>
        <v>885.6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23</v>
      </c>
      <c r="B53" s="20">
        <f t="shared" ref="B53:M53" si="37">B25+B44</f>
        <v>224.8155</v>
      </c>
      <c r="C53" s="20">
        <f t="shared" si="37"/>
        <v>583.3674</v>
      </c>
      <c r="D53" s="20">
        <f t="shared" si="37"/>
        <v>1125.0657</v>
      </c>
      <c r="E53" s="20">
        <f t="shared" si="37"/>
        <v>1869.6744</v>
      </c>
      <c r="F53" s="20">
        <f t="shared" si="37"/>
        <v>2618.73</v>
      </c>
      <c r="G53" s="20">
        <f t="shared" si="37"/>
        <v>3507.1218</v>
      </c>
      <c r="H53" s="20">
        <f t="shared" si="37"/>
        <v>4220.1081</v>
      </c>
      <c r="I53" s="20">
        <f t="shared" si="37"/>
        <v>5358.6792</v>
      </c>
      <c r="J53" s="20">
        <f t="shared" si="37"/>
        <v>6218.7426</v>
      </c>
      <c r="K53" s="20">
        <f t="shared" si="37"/>
        <v>7633.845</v>
      </c>
      <c r="L53" s="20">
        <f t="shared" si="37"/>
        <v>8654.1615</v>
      </c>
      <c r="M53" s="20">
        <f t="shared" si="37"/>
        <v>9723.888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4" t="s">
        <v>39</v>
      </c>
      <c r="B54" s="5">
        <f t="shared" ref="B54:M54" si="38">B26+B45</f>
        <v>-694.0745</v>
      </c>
      <c r="C54" s="5">
        <f t="shared" si="38"/>
        <v>-699.7146</v>
      </c>
      <c r="D54" s="5">
        <f t="shared" si="38"/>
        <v>-732.2883</v>
      </c>
      <c r="E54" s="5">
        <f t="shared" si="38"/>
        <v>-572.0316</v>
      </c>
      <c r="F54" s="5">
        <f t="shared" si="38"/>
        <v>-404.052</v>
      </c>
      <c r="G54" s="5">
        <f t="shared" si="38"/>
        <v>-101.7762</v>
      </c>
      <c r="H54" s="5">
        <f t="shared" si="38"/>
        <v>38.4501</v>
      </c>
      <c r="I54" s="5">
        <f t="shared" si="38"/>
        <v>583.3452</v>
      </c>
      <c r="J54" s="5">
        <f t="shared" si="38"/>
        <v>868.1286</v>
      </c>
      <c r="K54" s="5">
        <f t="shared" si="38"/>
        <v>1681.995</v>
      </c>
      <c r="L54" s="5">
        <f t="shared" si="38"/>
        <v>2124.5115</v>
      </c>
      <c r="M54" s="5">
        <f t="shared" si="38"/>
        <v>2616.438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4" t="s">
        <v>22</v>
      </c>
      <c r="B55" s="6">
        <f t="shared" ref="B55:M55" si="39">B43+B24</f>
        <v>429.975</v>
      </c>
      <c r="C55" s="6">
        <f t="shared" si="39"/>
        <v>1115.73</v>
      </c>
      <c r="D55" s="6">
        <f t="shared" si="39"/>
        <v>2151.765</v>
      </c>
      <c r="E55" s="6">
        <f t="shared" si="39"/>
        <v>3575.88</v>
      </c>
      <c r="F55" s="6">
        <f t="shared" si="39"/>
        <v>5008.5</v>
      </c>
      <c r="G55" s="6">
        <f t="shared" si="39"/>
        <v>6707.61</v>
      </c>
      <c r="H55" s="6">
        <f t="shared" si="39"/>
        <v>8071.245</v>
      </c>
      <c r="I55" s="6">
        <f t="shared" si="39"/>
        <v>10248.84</v>
      </c>
      <c r="J55" s="6">
        <f t="shared" si="39"/>
        <v>11893.77</v>
      </c>
      <c r="K55" s="6">
        <f t="shared" si="39"/>
        <v>14600.25</v>
      </c>
      <c r="L55" s="6">
        <f t="shared" si="39"/>
        <v>16551.675</v>
      </c>
      <c r="M55" s="6">
        <f t="shared" si="39"/>
        <v>18597.6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40</v>
      </c>
      <c r="B56" s="6">
        <f t="shared" ref="B56:M56" si="40">B12/B55</f>
        <v>2.137007966</v>
      </c>
      <c r="C56" s="6">
        <f t="shared" si="40"/>
        <v>1.14996639</v>
      </c>
      <c r="D56" s="6">
        <f t="shared" si="40"/>
        <v>0.8631630313</v>
      </c>
      <c r="E56" s="6">
        <f t="shared" si="40"/>
        <v>0.6828182154</v>
      </c>
      <c r="F56" s="6">
        <f t="shared" si="40"/>
        <v>0.6035244085</v>
      </c>
      <c r="G56" s="6">
        <f t="shared" si="40"/>
        <v>0.5380259139</v>
      </c>
      <c r="H56" s="6">
        <f t="shared" si="40"/>
        <v>0.5180895884</v>
      </c>
      <c r="I56" s="6">
        <f t="shared" si="40"/>
        <v>0.4659360474</v>
      </c>
      <c r="J56" s="6">
        <f t="shared" si="40"/>
        <v>0.4498644248</v>
      </c>
      <c r="K56" s="6">
        <f t="shared" si="40"/>
        <v>0.4076519238</v>
      </c>
      <c r="L56" s="6">
        <f t="shared" si="40"/>
        <v>0.3944990462</v>
      </c>
      <c r="M56" s="6">
        <f t="shared" si="40"/>
        <v>0.3821686669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26</v>
      </c>
      <c r="B57" s="6">
        <f t="shared" ref="B57:M57" si="41">B28+B47</f>
        <v>0</v>
      </c>
      <c r="C57" s="6">
        <f t="shared" si="41"/>
        <v>0</v>
      </c>
      <c r="D57" s="6">
        <f t="shared" si="41"/>
        <v>260.14365</v>
      </c>
      <c r="E57" s="6">
        <f t="shared" si="41"/>
        <v>678.82752</v>
      </c>
      <c r="F57" s="6">
        <f t="shared" si="41"/>
        <v>1315.83771</v>
      </c>
      <c r="G57" s="6">
        <f t="shared" si="41"/>
        <v>2196.86742</v>
      </c>
      <c r="H57" s="6">
        <f t="shared" si="41"/>
        <v>3090.1014</v>
      </c>
      <c r="I57" s="6">
        <f t="shared" si="41"/>
        <v>4154.59044</v>
      </c>
      <c r="J57" s="6">
        <f t="shared" si="41"/>
        <v>5017.23963</v>
      </c>
      <c r="K57" s="6">
        <f t="shared" si="41"/>
        <v>6392.13876</v>
      </c>
      <c r="L57" s="6">
        <f t="shared" si="41"/>
        <v>7441.04718</v>
      </c>
      <c r="M57" s="6">
        <f t="shared" si="41"/>
        <v>9160.614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28</v>
      </c>
      <c r="B58" s="6">
        <f t="shared" ref="B58:M58" si="42">B30+B49</f>
        <v>0</v>
      </c>
      <c r="C58" s="6">
        <f t="shared" si="42"/>
        <v>0</v>
      </c>
      <c r="D58" s="6">
        <f t="shared" si="42"/>
        <v>0</v>
      </c>
      <c r="E58" s="6">
        <f t="shared" si="42"/>
        <v>0</v>
      </c>
      <c r="F58" s="6">
        <f t="shared" si="42"/>
        <v>214.01757</v>
      </c>
      <c r="G58" s="6">
        <f t="shared" si="42"/>
        <v>569.880108</v>
      </c>
      <c r="H58" s="6">
        <f t="shared" si="42"/>
        <v>1124.643366</v>
      </c>
      <c r="I58" s="6">
        <f t="shared" si="42"/>
        <v>1907.953344</v>
      </c>
      <c r="J58" s="6">
        <f t="shared" si="42"/>
        <v>2722.574808</v>
      </c>
      <c r="K58" s="6">
        <f t="shared" si="42"/>
        <v>3708.291132</v>
      </c>
      <c r="L58" s="6">
        <f t="shared" si="42"/>
        <v>4531.359222</v>
      </c>
      <c r="M58" s="6">
        <f t="shared" si="42"/>
        <v>5835.480336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29</v>
      </c>
      <c r="B59" s="6">
        <f t="shared" ref="B59:M59" si="43">B50+B31</f>
        <v>-918.86</v>
      </c>
      <c r="C59" s="6">
        <f t="shared" si="43"/>
        <v>-1283.052</v>
      </c>
      <c r="D59" s="6">
        <f t="shared" si="43"/>
        <v>-1597.18035</v>
      </c>
      <c r="E59" s="6">
        <f t="shared" si="43"/>
        <v>-1762.84848</v>
      </c>
      <c r="F59" s="6">
        <f t="shared" si="43"/>
        <v>-1492.89672</v>
      </c>
      <c r="G59" s="6">
        <f t="shared" si="43"/>
        <v>-842.120472</v>
      </c>
      <c r="H59" s="6">
        <f t="shared" si="43"/>
        <v>33.116766</v>
      </c>
      <c r="I59" s="6">
        <f t="shared" si="43"/>
        <v>1287.239784</v>
      </c>
      <c r="J59" s="6">
        <f t="shared" si="43"/>
        <v>2389.230438</v>
      </c>
      <c r="K59" s="6">
        <f t="shared" si="43"/>
        <v>4148.609892</v>
      </c>
      <c r="L59" s="6">
        <f t="shared" si="43"/>
        <v>5442.786402</v>
      </c>
      <c r="M59" s="6">
        <f t="shared" si="43"/>
        <v>7888.674336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41</v>
      </c>
      <c r="B60" s="6">
        <f t="shared" ref="B60:M60" si="44">B59+B54</f>
        <v>-1612.9345</v>
      </c>
      <c r="C60" s="6">
        <f t="shared" si="44"/>
        <v>-1982.7666</v>
      </c>
      <c r="D60" s="6">
        <f t="shared" si="44"/>
        <v>-2329.46865</v>
      </c>
      <c r="E60" s="6">
        <f t="shared" si="44"/>
        <v>-2334.88008</v>
      </c>
      <c r="F60" s="6">
        <f t="shared" si="44"/>
        <v>-1896.94872</v>
      </c>
      <c r="G60" s="6">
        <f t="shared" si="44"/>
        <v>-943.896672</v>
      </c>
      <c r="H60" s="6">
        <f t="shared" si="44"/>
        <v>71.566866</v>
      </c>
      <c r="I60" s="6">
        <f t="shared" si="44"/>
        <v>1870.584984</v>
      </c>
      <c r="J60" s="6">
        <f t="shared" si="44"/>
        <v>3257.359038</v>
      </c>
      <c r="K60" s="6">
        <f t="shared" si="44"/>
        <v>5830.604892</v>
      </c>
      <c r="L60" s="6">
        <f t="shared" si="44"/>
        <v>7567.297902</v>
      </c>
      <c r="M60" s="6">
        <f t="shared" si="44"/>
        <v>10505.11234</v>
      </c>
      <c r="N60" s="32">
        <f>SUM(B60:M60)</f>
        <v>18001.6308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3">
    <mergeCell ref="A1:M1"/>
    <mergeCell ref="A32:M32"/>
    <mergeCell ref="A51:M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</v>
      </c>
      <c r="B3" s="8">
        <v>11.0</v>
      </c>
      <c r="C3" s="5">
        <f t="shared" ref="C3:M3" si="1">B3+10</f>
        <v>21</v>
      </c>
      <c r="D3" s="5">
        <f t="shared" si="1"/>
        <v>31</v>
      </c>
      <c r="E3" s="5">
        <f t="shared" si="1"/>
        <v>41</v>
      </c>
      <c r="F3" s="5">
        <f t="shared" si="1"/>
        <v>51</v>
      </c>
      <c r="G3" s="5">
        <f t="shared" si="1"/>
        <v>61</v>
      </c>
      <c r="H3" s="5">
        <f t="shared" si="1"/>
        <v>71</v>
      </c>
      <c r="I3" s="5">
        <f t="shared" si="1"/>
        <v>81</v>
      </c>
      <c r="J3" s="5">
        <f t="shared" si="1"/>
        <v>91</v>
      </c>
      <c r="K3" s="5">
        <f t="shared" si="1"/>
        <v>101</v>
      </c>
      <c r="L3" s="5">
        <f t="shared" si="1"/>
        <v>111</v>
      </c>
      <c r="M3" s="5">
        <f t="shared" si="1"/>
        <v>121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4</v>
      </c>
      <c r="B5" s="5">
        <f t="shared" ref="B5:M5" si="2">B3*B4</f>
        <v>330</v>
      </c>
      <c r="C5" s="5">
        <f t="shared" si="2"/>
        <v>630</v>
      </c>
      <c r="D5" s="5">
        <f t="shared" si="2"/>
        <v>930</v>
      </c>
      <c r="E5" s="5">
        <f t="shared" si="2"/>
        <v>1230</v>
      </c>
      <c r="F5" s="5">
        <f t="shared" si="2"/>
        <v>1530</v>
      </c>
      <c r="G5" s="5">
        <f t="shared" si="2"/>
        <v>1830</v>
      </c>
      <c r="H5" s="5">
        <f t="shared" si="2"/>
        <v>2130</v>
      </c>
      <c r="I5" s="5">
        <f t="shared" si="2"/>
        <v>2430</v>
      </c>
      <c r="J5" s="5">
        <f t="shared" si="2"/>
        <v>2730</v>
      </c>
      <c r="K5" s="5">
        <f t="shared" si="2"/>
        <v>3030</v>
      </c>
      <c r="L5" s="5">
        <f t="shared" si="2"/>
        <v>3330</v>
      </c>
      <c r="M5" s="5">
        <f t="shared" si="2"/>
        <v>3630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5</v>
      </c>
      <c r="B6" s="8">
        <v>2.0</v>
      </c>
      <c r="C6" s="8">
        <v>2.0</v>
      </c>
      <c r="D6" s="8">
        <v>2.0</v>
      </c>
      <c r="E6" s="8">
        <v>2.0</v>
      </c>
      <c r="F6" s="8">
        <v>2.0</v>
      </c>
      <c r="G6" s="8">
        <v>2.0</v>
      </c>
      <c r="H6" s="8">
        <v>2.0</v>
      </c>
      <c r="I6" s="8">
        <v>2.0</v>
      </c>
      <c r="J6" s="8">
        <v>2.0</v>
      </c>
      <c r="K6" s="8">
        <v>2.0</v>
      </c>
      <c r="L6" s="8">
        <v>2.0</v>
      </c>
      <c r="M6" s="8">
        <v>2.0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6</v>
      </c>
      <c r="B7" s="5">
        <v>5.0</v>
      </c>
      <c r="C7" s="8">
        <v>7.0</v>
      </c>
      <c r="D7" s="8">
        <v>9.0</v>
      </c>
      <c r="E7" s="8">
        <v>11.0</v>
      </c>
      <c r="F7" s="8">
        <v>12.0</v>
      </c>
      <c r="G7" s="8">
        <v>13.0</v>
      </c>
      <c r="H7" s="8">
        <v>13.0</v>
      </c>
      <c r="I7" s="8">
        <v>14.0</v>
      </c>
      <c r="J7" s="8">
        <v>14.0</v>
      </c>
      <c r="K7" s="8">
        <v>15.0</v>
      </c>
      <c r="L7" s="5">
        <v>15.0</v>
      </c>
      <c r="M7" s="5">
        <v>15.0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6">
        <f t="shared" ref="B8:M8" si="3">B5*B7/100</f>
        <v>16.5</v>
      </c>
      <c r="C8" s="6">
        <f t="shared" si="3"/>
        <v>44.1</v>
      </c>
      <c r="D8" s="6">
        <f t="shared" si="3"/>
        <v>83.7</v>
      </c>
      <c r="E8" s="6">
        <f t="shared" si="3"/>
        <v>135.3</v>
      </c>
      <c r="F8" s="6">
        <f t="shared" si="3"/>
        <v>183.6</v>
      </c>
      <c r="G8" s="6">
        <f t="shared" si="3"/>
        <v>237.9</v>
      </c>
      <c r="H8" s="6">
        <f t="shared" si="3"/>
        <v>276.9</v>
      </c>
      <c r="I8" s="6">
        <f t="shared" si="3"/>
        <v>340.2</v>
      </c>
      <c r="J8" s="6">
        <f t="shared" si="3"/>
        <v>382.2</v>
      </c>
      <c r="K8" s="6">
        <f t="shared" si="3"/>
        <v>454.5</v>
      </c>
      <c r="L8" s="6">
        <f t="shared" si="3"/>
        <v>499.5</v>
      </c>
      <c r="M8" s="6">
        <f t="shared" si="3"/>
        <v>544.5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6">
        <f t="shared" ref="B9:M9" si="4">B8</f>
        <v>16.5</v>
      </c>
      <c r="C9" s="6">
        <f t="shared" si="4"/>
        <v>44.1</v>
      </c>
      <c r="D9" s="6">
        <f t="shared" si="4"/>
        <v>83.7</v>
      </c>
      <c r="E9" s="6">
        <f t="shared" si="4"/>
        <v>135.3</v>
      </c>
      <c r="F9" s="6">
        <f t="shared" si="4"/>
        <v>183.6</v>
      </c>
      <c r="G9" s="6">
        <f t="shared" si="4"/>
        <v>237.9</v>
      </c>
      <c r="H9" s="6">
        <f t="shared" si="4"/>
        <v>276.9</v>
      </c>
      <c r="I9" s="6">
        <f t="shared" si="4"/>
        <v>340.2</v>
      </c>
      <c r="J9" s="6">
        <f t="shared" si="4"/>
        <v>382.2</v>
      </c>
      <c r="K9" s="6">
        <f t="shared" si="4"/>
        <v>454.5</v>
      </c>
      <c r="L9" s="6">
        <f t="shared" si="4"/>
        <v>499.5</v>
      </c>
      <c r="M9" s="6">
        <f t="shared" si="4"/>
        <v>544.5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9</v>
      </c>
      <c r="B10" s="8">
        <v>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47</v>
      </c>
      <c r="B11" s="11">
        <f t="shared" ref="B11:M11" si="5">(0.6+B20*0.05*B8)*0.8</f>
        <v>20.28</v>
      </c>
      <c r="C11" s="11">
        <f t="shared" si="5"/>
        <v>53.4</v>
      </c>
      <c r="D11" s="11">
        <f t="shared" si="5"/>
        <v>100.92</v>
      </c>
      <c r="E11" s="11">
        <f t="shared" si="5"/>
        <v>162.84</v>
      </c>
      <c r="F11" s="11">
        <f t="shared" si="5"/>
        <v>220.8</v>
      </c>
      <c r="G11" s="11">
        <f t="shared" si="5"/>
        <v>285.96</v>
      </c>
      <c r="H11" s="11">
        <f t="shared" si="5"/>
        <v>332.76</v>
      </c>
      <c r="I11" s="11">
        <f t="shared" si="5"/>
        <v>408.72</v>
      </c>
      <c r="J11" s="11">
        <f t="shared" si="5"/>
        <v>459.12</v>
      </c>
      <c r="K11" s="11">
        <f t="shared" si="5"/>
        <v>545.88</v>
      </c>
      <c r="L11" s="11">
        <f t="shared" si="5"/>
        <v>599.88</v>
      </c>
      <c r="M11" s="11">
        <f t="shared" si="5"/>
        <v>653.88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11</v>
      </c>
      <c r="B12" s="11">
        <f t="shared" ref="B12:M12" si="6">B5*B6+B10+B11</f>
        <v>880.28</v>
      </c>
      <c r="C12" s="11">
        <f t="shared" si="6"/>
        <v>1313.4</v>
      </c>
      <c r="D12" s="11">
        <f t="shared" si="6"/>
        <v>1960.92</v>
      </c>
      <c r="E12" s="11">
        <f t="shared" si="6"/>
        <v>2622.84</v>
      </c>
      <c r="F12" s="11">
        <f t="shared" si="6"/>
        <v>3280.8</v>
      </c>
      <c r="G12" s="11">
        <f t="shared" si="6"/>
        <v>3945.96</v>
      </c>
      <c r="H12" s="11">
        <f t="shared" si="6"/>
        <v>4592.76</v>
      </c>
      <c r="I12" s="11">
        <f t="shared" si="6"/>
        <v>5268.72</v>
      </c>
      <c r="J12" s="11">
        <f t="shared" si="6"/>
        <v>5919.12</v>
      </c>
      <c r="K12" s="11">
        <f t="shared" si="6"/>
        <v>6605.88</v>
      </c>
      <c r="L12" s="11">
        <f t="shared" si="6"/>
        <v>7259.88</v>
      </c>
      <c r="M12" s="11">
        <f t="shared" si="6"/>
        <v>7913.88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44</v>
      </c>
      <c r="B13" s="6">
        <f t="shared" ref="B13:M13" si="7">B12/B4</f>
        <v>29.34266667</v>
      </c>
      <c r="C13" s="6">
        <f t="shared" si="7"/>
        <v>43.78</v>
      </c>
      <c r="D13" s="6">
        <f t="shared" si="7"/>
        <v>65.364</v>
      </c>
      <c r="E13" s="6">
        <f t="shared" si="7"/>
        <v>87.428</v>
      </c>
      <c r="F13" s="6">
        <f t="shared" si="7"/>
        <v>109.36</v>
      </c>
      <c r="G13" s="6">
        <f t="shared" si="7"/>
        <v>131.532</v>
      </c>
      <c r="H13" s="6">
        <f t="shared" si="7"/>
        <v>153.092</v>
      </c>
      <c r="I13" s="6">
        <f t="shared" si="7"/>
        <v>175.624</v>
      </c>
      <c r="J13" s="6">
        <f t="shared" si="7"/>
        <v>197.304</v>
      </c>
      <c r="K13" s="6">
        <f t="shared" si="7"/>
        <v>220.196</v>
      </c>
      <c r="L13" s="6">
        <f t="shared" si="7"/>
        <v>241.996</v>
      </c>
      <c r="M13" s="6">
        <f t="shared" si="7"/>
        <v>263.796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12</v>
      </c>
      <c r="B14" s="6">
        <f t="shared" ref="B14:M14" si="8">B12/B9</f>
        <v>53.35030303</v>
      </c>
      <c r="C14" s="6">
        <f t="shared" si="8"/>
        <v>29.78231293</v>
      </c>
      <c r="D14" s="6">
        <f t="shared" si="8"/>
        <v>23.42795699</v>
      </c>
      <c r="E14" s="6">
        <f t="shared" si="8"/>
        <v>19.38536585</v>
      </c>
      <c r="F14" s="6">
        <f t="shared" si="8"/>
        <v>17.86928105</v>
      </c>
      <c r="G14" s="6">
        <f t="shared" si="8"/>
        <v>16.58663304</v>
      </c>
      <c r="H14" s="6">
        <f t="shared" si="8"/>
        <v>16.58634886</v>
      </c>
      <c r="I14" s="6">
        <f t="shared" si="8"/>
        <v>15.48712522</v>
      </c>
      <c r="J14" s="6">
        <f t="shared" si="8"/>
        <v>15.48697017</v>
      </c>
      <c r="K14" s="6">
        <f t="shared" si="8"/>
        <v>14.53438944</v>
      </c>
      <c r="L14" s="6">
        <f t="shared" si="8"/>
        <v>14.53429429</v>
      </c>
      <c r="M14" s="6">
        <f t="shared" si="8"/>
        <v>14.53421488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13</v>
      </c>
      <c r="B15" s="6">
        <f t="shared" ref="B15:M15" si="9">B16+B17</f>
        <v>11.31</v>
      </c>
      <c r="C15" s="6">
        <f t="shared" si="9"/>
        <v>11.31</v>
      </c>
      <c r="D15" s="6">
        <f t="shared" si="9"/>
        <v>11.31</v>
      </c>
      <c r="E15" s="6">
        <f t="shared" si="9"/>
        <v>11.31</v>
      </c>
      <c r="F15" s="6">
        <f t="shared" si="9"/>
        <v>11.31</v>
      </c>
      <c r="G15" s="6">
        <f t="shared" si="9"/>
        <v>11.31</v>
      </c>
      <c r="H15" s="6">
        <f t="shared" si="9"/>
        <v>11.31</v>
      </c>
      <c r="I15" s="6">
        <f t="shared" si="9"/>
        <v>11.31</v>
      </c>
      <c r="J15" s="6">
        <f t="shared" si="9"/>
        <v>11.31</v>
      </c>
      <c r="K15" s="6">
        <f t="shared" si="9"/>
        <v>11.31</v>
      </c>
      <c r="L15" s="6">
        <f t="shared" si="9"/>
        <v>11.31</v>
      </c>
      <c r="M15" s="6">
        <f t="shared" si="9"/>
        <v>11.31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14</v>
      </c>
      <c r="B16" s="8">
        <v>3.81</v>
      </c>
      <c r="C16" s="8">
        <v>3.81</v>
      </c>
      <c r="D16" s="8">
        <v>3.81</v>
      </c>
      <c r="E16" s="8">
        <v>3.81</v>
      </c>
      <c r="F16" s="8">
        <v>3.81</v>
      </c>
      <c r="G16" s="8">
        <v>3.81</v>
      </c>
      <c r="H16" s="8">
        <v>3.81</v>
      </c>
      <c r="I16" s="8">
        <v>3.81</v>
      </c>
      <c r="J16" s="8">
        <v>3.81</v>
      </c>
      <c r="K16" s="8">
        <v>3.81</v>
      </c>
      <c r="L16" s="8">
        <v>3.81</v>
      </c>
      <c r="M16" s="8">
        <v>3.81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15</v>
      </c>
      <c r="B17" s="6">
        <f t="shared" ref="B17:M17" si="10">B18+B19</f>
        <v>7.5</v>
      </c>
      <c r="C17" s="6">
        <f t="shared" si="10"/>
        <v>7.5</v>
      </c>
      <c r="D17" s="6">
        <f t="shared" si="10"/>
        <v>7.5</v>
      </c>
      <c r="E17" s="6">
        <f t="shared" si="10"/>
        <v>7.5</v>
      </c>
      <c r="F17" s="6">
        <f t="shared" si="10"/>
        <v>7.5</v>
      </c>
      <c r="G17" s="6">
        <f t="shared" si="10"/>
        <v>7.5</v>
      </c>
      <c r="H17" s="6">
        <f t="shared" si="10"/>
        <v>7.5</v>
      </c>
      <c r="I17" s="6">
        <f t="shared" si="10"/>
        <v>7.5</v>
      </c>
      <c r="J17" s="6">
        <f t="shared" si="10"/>
        <v>7.5</v>
      </c>
      <c r="K17" s="6">
        <f t="shared" si="10"/>
        <v>7.5</v>
      </c>
      <c r="L17" s="6">
        <f t="shared" si="10"/>
        <v>7.5</v>
      </c>
      <c r="M17" s="6">
        <f t="shared" si="10"/>
        <v>7.5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16</v>
      </c>
      <c r="B18" s="6">
        <v>3.0</v>
      </c>
      <c r="C18" s="6">
        <v>3.0</v>
      </c>
      <c r="D18" s="6">
        <v>3.0</v>
      </c>
      <c r="E18" s="6">
        <v>3.0</v>
      </c>
      <c r="F18" s="6">
        <v>3.0</v>
      </c>
      <c r="G18" s="6">
        <v>3.0</v>
      </c>
      <c r="H18" s="6">
        <v>3.0</v>
      </c>
      <c r="I18" s="6">
        <v>3.0</v>
      </c>
      <c r="J18" s="6">
        <v>3.0</v>
      </c>
      <c r="K18" s="6">
        <v>3.0</v>
      </c>
      <c r="L18" s="6">
        <v>3.0</v>
      </c>
      <c r="M18" s="6">
        <v>3.0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17</v>
      </c>
      <c r="B19" s="6">
        <f t="shared" ref="B19:M19" si="11">B20*0.15</f>
        <v>4.5</v>
      </c>
      <c r="C19" s="6">
        <f t="shared" si="11"/>
        <v>4.5</v>
      </c>
      <c r="D19" s="6">
        <f t="shared" si="11"/>
        <v>4.5</v>
      </c>
      <c r="E19" s="6">
        <f t="shared" si="11"/>
        <v>4.5</v>
      </c>
      <c r="F19" s="6">
        <f t="shared" si="11"/>
        <v>4.5</v>
      </c>
      <c r="G19" s="6">
        <f t="shared" si="11"/>
        <v>4.5</v>
      </c>
      <c r="H19" s="6">
        <f t="shared" si="11"/>
        <v>4.5</v>
      </c>
      <c r="I19" s="6">
        <f t="shared" si="11"/>
        <v>4.5</v>
      </c>
      <c r="J19" s="6">
        <f t="shared" si="11"/>
        <v>4.5</v>
      </c>
      <c r="K19" s="6">
        <f t="shared" si="11"/>
        <v>4.5</v>
      </c>
      <c r="L19" s="6">
        <f t="shared" si="11"/>
        <v>4.5</v>
      </c>
      <c r="M19" s="6">
        <f t="shared" si="11"/>
        <v>4.5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 t="s">
        <v>18</v>
      </c>
      <c r="B20" s="23">
        <v>30.0</v>
      </c>
      <c r="C20" s="23">
        <v>30.0</v>
      </c>
      <c r="D20" s="23">
        <v>30.0</v>
      </c>
      <c r="E20" s="23">
        <v>30.0</v>
      </c>
      <c r="F20" s="23">
        <v>30.0</v>
      </c>
      <c r="G20" s="23">
        <v>30.0</v>
      </c>
      <c r="H20" s="23">
        <v>30.0</v>
      </c>
      <c r="I20" s="23">
        <v>30.0</v>
      </c>
      <c r="J20" s="23">
        <v>30.0</v>
      </c>
      <c r="K20" s="23">
        <v>30.0</v>
      </c>
      <c r="L20" s="23">
        <v>30.0</v>
      </c>
      <c r="M20" s="23">
        <v>30.0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19</v>
      </c>
      <c r="B21" s="6">
        <f t="shared" ref="B21:M21" si="12">B20-B15-B14</f>
        <v>-34.66030303</v>
      </c>
      <c r="C21" s="6">
        <f t="shared" si="12"/>
        <v>-11.09231293</v>
      </c>
      <c r="D21" s="6">
        <f t="shared" si="12"/>
        <v>-4.737956989</v>
      </c>
      <c r="E21" s="6">
        <f t="shared" si="12"/>
        <v>-0.6953658537</v>
      </c>
      <c r="F21" s="6">
        <f t="shared" si="12"/>
        <v>0.8207189542</v>
      </c>
      <c r="G21" s="6">
        <f t="shared" si="12"/>
        <v>2.103366961</v>
      </c>
      <c r="H21" s="6">
        <f t="shared" si="12"/>
        <v>2.103651138</v>
      </c>
      <c r="I21" s="6">
        <f t="shared" si="12"/>
        <v>3.20287478</v>
      </c>
      <c r="J21" s="6">
        <f t="shared" si="12"/>
        <v>3.203029827</v>
      </c>
      <c r="K21" s="6">
        <f t="shared" si="12"/>
        <v>4.155610561</v>
      </c>
      <c r="L21" s="6">
        <f t="shared" si="12"/>
        <v>4.155705706</v>
      </c>
      <c r="M21" s="6">
        <f t="shared" si="12"/>
        <v>4.155785124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20</v>
      </c>
      <c r="B22" s="6">
        <f t="shared" ref="B22:M22" si="13">B20-B15</f>
        <v>18.69</v>
      </c>
      <c r="C22" s="6">
        <f t="shared" si="13"/>
        <v>18.69</v>
      </c>
      <c r="D22" s="6">
        <f t="shared" si="13"/>
        <v>18.69</v>
      </c>
      <c r="E22" s="6">
        <f t="shared" si="13"/>
        <v>18.69</v>
      </c>
      <c r="F22" s="6">
        <f t="shared" si="13"/>
        <v>18.69</v>
      </c>
      <c r="G22" s="6">
        <f t="shared" si="13"/>
        <v>18.69</v>
      </c>
      <c r="H22" s="6">
        <f t="shared" si="13"/>
        <v>18.69</v>
      </c>
      <c r="I22" s="6">
        <f t="shared" si="13"/>
        <v>18.69</v>
      </c>
      <c r="J22" s="6">
        <f t="shared" si="13"/>
        <v>18.69</v>
      </c>
      <c r="K22" s="6">
        <f t="shared" si="13"/>
        <v>18.69</v>
      </c>
      <c r="L22" s="6">
        <f t="shared" si="13"/>
        <v>18.69</v>
      </c>
      <c r="M22" s="6">
        <f t="shared" si="13"/>
        <v>18.69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21</v>
      </c>
      <c r="B23" s="6">
        <f t="shared" ref="B23:M23" si="14">B24/B12</f>
        <v>0.5623210797</v>
      </c>
      <c r="C23" s="6">
        <f t="shared" si="14"/>
        <v>1.007309274</v>
      </c>
      <c r="D23" s="6">
        <f t="shared" si="14"/>
        <v>1.280521388</v>
      </c>
      <c r="E23" s="6">
        <f t="shared" si="14"/>
        <v>1.547559134</v>
      </c>
      <c r="F23" s="6">
        <f t="shared" si="14"/>
        <v>1.678858815</v>
      </c>
      <c r="G23" s="6">
        <f t="shared" si="14"/>
        <v>1.808685339</v>
      </c>
      <c r="H23" s="6">
        <f t="shared" si="14"/>
        <v>1.808716327</v>
      </c>
      <c r="I23" s="6">
        <f t="shared" si="14"/>
        <v>1.93709288</v>
      </c>
      <c r="J23" s="6">
        <f t="shared" si="14"/>
        <v>1.937112273</v>
      </c>
      <c r="K23" s="6">
        <f t="shared" si="14"/>
        <v>2.064070192</v>
      </c>
      <c r="L23" s="6">
        <f t="shared" si="14"/>
        <v>2.064083704</v>
      </c>
      <c r="M23" s="6">
        <f t="shared" si="14"/>
        <v>2.064094982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22</v>
      </c>
      <c r="B24" s="6">
        <f t="shared" ref="B24:M24" si="15">B8*B20</f>
        <v>495</v>
      </c>
      <c r="C24" s="6">
        <f t="shared" si="15"/>
        <v>1323</v>
      </c>
      <c r="D24" s="6">
        <f t="shared" si="15"/>
        <v>2511</v>
      </c>
      <c r="E24" s="6">
        <f t="shared" si="15"/>
        <v>4059</v>
      </c>
      <c r="F24" s="6">
        <f t="shared" si="15"/>
        <v>5508</v>
      </c>
      <c r="G24" s="6">
        <f t="shared" si="15"/>
        <v>7137</v>
      </c>
      <c r="H24" s="6">
        <f t="shared" si="15"/>
        <v>8307</v>
      </c>
      <c r="I24" s="6">
        <f t="shared" si="15"/>
        <v>10206</v>
      </c>
      <c r="J24" s="6">
        <f t="shared" si="15"/>
        <v>11466</v>
      </c>
      <c r="K24" s="6">
        <f t="shared" si="15"/>
        <v>13635</v>
      </c>
      <c r="L24" s="6">
        <f t="shared" si="15"/>
        <v>14985</v>
      </c>
      <c r="M24" s="6">
        <f t="shared" si="15"/>
        <v>16335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23</v>
      </c>
      <c r="B25" s="6">
        <f t="shared" ref="B25:M25" si="16">B24-(B8*B15)</f>
        <v>308.385</v>
      </c>
      <c r="C25" s="6">
        <f t="shared" si="16"/>
        <v>824.229</v>
      </c>
      <c r="D25" s="6">
        <f t="shared" si="16"/>
        <v>1564.353</v>
      </c>
      <c r="E25" s="6">
        <f t="shared" si="16"/>
        <v>2528.757</v>
      </c>
      <c r="F25" s="6">
        <f t="shared" si="16"/>
        <v>3431.484</v>
      </c>
      <c r="G25" s="6">
        <f t="shared" si="16"/>
        <v>4446.351</v>
      </c>
      <c r="H25" s="6">
        <f t="shared" si="16"/>
        <v>5175.261</v>
      </c>
      <c r="I25" s="6">
        <f t="shared" si="16"/>
        <v>6358.338</v>
      </c>
      <c r="J25" s="6">
        <f t="shared" si="16"/>
        <v>7143.318</v>
      </c>
      <c r="K25" s="6">
        <f t="shared" si="16"/>
        <v>8494.605</v>
      </c>
      <c r="L25" s="6">
        <f t="shared" si="16"/>
        <v>9335.655</v>
      </c>
      <c r="M25" s="6">
        <f t="shared" si="16"/>
        <v>10176.705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24</v>
      </c>
      <c r="B26" s="5">
        <f t="shared" ref="B26:M26" si="17">B25-B12</f>
        <v>-571.895</v>
      </c>
      <c r="C26" s="5">
        <f t="shared" si="17"/>
        <v>-489.171</v>
      </c>
      <c r="D26" s="5">
        <f t="shared" si="17"/>
        <v>-396.567</v>
      </c>
      <c r="E26" s="5">
        <f t="shared" si="17"/>
        <v>-94.083</v>
      </c>
      <c r="F26" s="5">
        <f t="shared" si="17"/>
        <v>150.684</v>
      </c>
      <c r="G26" s="5">
        <f t="shared" si="17"/>
        <v>500.391</v>
      </c>
      <c r="H26" s="5">
        <f t="shared" si="17"/>
        <v>582.501</v>
      </c>
      <c r="I26" s="5">
        <f t="shared" si="17"/>
        <v>1089.618</v>
      </c>
      <c r="J26" s="5">
        <f t="shared" si="17"/>
        <v>1224.198</v>
      </c>
      <c r="K26" s="5">
        <f t="shared" si="17"/>
        <v>1888.725</v>
      </c>
      <c r="L26" s="5">
        <f t="shared" si="17"/>
        <v>2075.775</v>
      </c>
      <c r="M26" s="5">
        <f t="shared" si="17"/>
        <v>2262.825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4" t="s">
        <v>25</v>
      </c>
      <c r="B27" s="14"/>
      <c r="C27" s="14"/>
      <c r="D27" s="15">
        <v>0.15</v>
      </c>
      <c r="E27" s="15">
        <v>0.15</v>
      </c>
      <c r="F27" s="15">
        <v>0.15</v>
      </c>
      <c r="G27" s="15">
        <v>0.15</v>
      </c>
      <c r="H27" s="15">
        <v>0.15</v>
      </c>
      <c r="I27" s="15">
        <v>0.15</v>
      </c>
      <c r="J27" s="15">
        <v>0.15</v>
      </c>
      <c r="K27" s="15">
        <v>0.15</v>
      </c>
      <c r="L27" s="15">
        <v>0.15</v>
      </c>
      <c r="M27" s="15">
        <v>0.15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26</v>
      </c>
      <c r="B28" s="14"/>
      <c r="C28" s="14"/>
      <c r="D28" s="6">
        <f t="shared" ref="D28:M28" si="18">(B9*D22)+(B9*D27*D22)</f>
        <v>354.64275</v>
      </c>
      <c r="E28" s="6">
        <f t="shared" si="18"/>
        <v>947.86335</v>
      </c>
      <c r="F28" s="6">
        <f t="shared" si="18"/>
        <v>1799.00595</v>
      </c>
      <c r="G28" s="6">
        <f t="shared" si="18"/>
        <v>2908.07055</v>
      </c>
      <c r="H28" s="6">
        <f t="shared" si="18"/>
        <v>3946.2066</v>
      </c>
      <c r="I28" s="6">
        <f t="shared" si="18"/>
        <v>5113.30365</v>
      </c>
      <c r="J28" s="6">
        <f t="shared" si="18"/>
        <v>5951.55015</v>
      </c>
      <c r="K28" s="6">
        <f t="shared" si="18"/>
        <v>7312.0887</v>
      </c>
      <c r="L28" s="6">
        <f t="shared" si="18"/>
        <v>8214.8157</v>
      </c>
      <c r="M28" s="6">
        <f t="shared" si="18"/>
        <v>9768.79575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27</v>
      </c>
      <c r="B29" s="14"/>
      <c r="C29" s="14"/>
      <c r="D29" s="14"/>
      <c r="E29" s="14"/>
      <c r="F29" s="15">
        <v>0.08</v>
      </c>
      <c r="G29" s="15">
        <v>0.08</v>
      </c>
      <c r="H29" s="15">
        <v>0.08</v>
      </c>
      <c r="I29" s="15">
        <v>0.08</v>
      </c>
      <c r="J29" s="15">
        <v>0.08</v>
      </c>
      <c r="K29" s="15">
        <v>0.08</v>
      </c>
      <c r="L29" s="15">
        <v>0.08</v>
      </c>
      <c r="M29" s="15">
        <v>0.08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28</v>
      </c>
      <c r="B30" s="14"/>
      <c r="C30" s="14"/>
      <c r="D30" s="14"/>
      <c r="E30" s="14"/>
      <c r="F30" s="6">
        <f t="shared" ref="F30:M30" si="19">(B9*F15)+(B9*F27*F29*F22)</f>
        <v>190.31562</v>
      </c>
      <c r="G30" s="6">
        <f t="shared" si="19"/>
        <v>508.661748</v>
      </c>
      <c r="H30" s="6">
        <f t="shared" si="19"/>
        <v>965.419236</v>
      </c>
      <c r="I30" s="6">
        <f t="shared" si="19"/>
        <v>1560.588084</v>
      </c>
      <c r="J30" s="6">
        <f t="shared" si="19"/>
        <v>2117.693808</v>
      </c>
      <c r="K30" s="6">
        <f t="shared" si="19"/>
        <v>2744.005212</v>
      </c>
      <c r="L30" s="6">
        <f t="shared" si="19"/>
        <v>3193.842132</v>
      </c>
      <c r="M30" s="6">
        <f t="shared" si="19"/>
        <v>3923.962056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29</v>
      </c>
      <c r="B31" s="16">
        <f t="shared" ref="B31:M31" si="20">(B30+B28)-B12</f>
        <v>-880.28</v>
      </c>
      <c r="C31" s="16">
        <f t="shared" si="20"/>
        <v>-1313.4</v>
      </c>
      <c r="D31" s="16">
        <f t="shared" si="20"/>
        <v>-1606.27725</v>
      </c>
      <c r="E31" s="16">
        <f t="shared" si="20"/>
        <v>-1674.97665</v>
      </c>
      <c r="F31" s="16">
        <f t="shared" si="20"/>
        <v>-1291.47843</v>
      </c>
      <c r="G31" s="16">
        <f t="shared" si="20"/>
        <v>-529.227702</v>
      </c>
      <c r="H31" s="16">
        <f t="shared" si="20"/>
        <v>318.865836</v>
      </c>
      <c r="I31" s="16">
        <f t="shared" si="20"/>
        <v>1405.171734</v>
      </c>
      <c r="J31" s="16">
        <f t="shared" si="20"/>
        <v>2150.123958</v>
      </c>
      <c r="K31" s="16">
        <f t="shared" si="20"/>
        <v>3450.213912</v>
      </c>
      <c r="L31" s="16">
        <f t="shared" si="20"/>
        <v>4148.777832</v>
      </c>
      <c r="M31" s="16">
        <f t="shared" si="20"/>
        <v>5778.877806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30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31</v>
      </c>
      <c r="B33" s="5">
        <v>5.0</v>
      </c>
      <c r="C33" s="5">
        <v>10.0</v>
      </c>
      <c r="D33" s="5">
        <v>15.0</v>
      </c>
      <c r="E33" s="5">
        <v>20.0</v>
      </c>
      <c r="F33" s="5">
        <v>25.0</v>
      </c>
      <c r="G33" s="5">
        <v>30.0</v>
      </c>
      <c r="H33" s="5">
        <v>35.0</v>
      </c>
      <c r="I33" s="5">
        <v>40.0</v>
      </c>
      <c r="J33" s="5">
        <v>45.0</v>
      </c>
      <c r="K33" s="5">
        <v>50.0</v>
      </c>
      <c r="L33" s="5">
        <v>55.0</v>
      </c>
      <c r="M33" s="5">
        <v>60.0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32</v>
      </c>
      <c r="B34" s="6">
        <f t="shared" ref="B34:M34" si="21">B8*B33/100</f>
        <v>0.825</v>
      </c>
      <c r="C34" s="6">
        <f t="shared" si="21"/>
        <v>4.41</v>
      </c>
      <c r="D34" s="6">
        <f t="shared" si="21"/>
        <v>12.555</v>
      </c>
      <c r="E34" s="6">
        <f t="shared" si="21"/>
        <v>27.06</v>
      </c>
      <c r="F34" s="6">
        <f t="shared" si="21"/>
        <v>45.9</v>
      </c>
      <c r="G34" s="6">
        <f t="shared" si="21"/>
        <v>71.37</v>
      </c>
      <c r="H34" s="6">
        <f t="shared" si="21"/>
        <v>96.915</v>
      </c>
      <c r="I34" s="6">
        <f t="shared" si="21"/>
        <v>136.08</v>
      </c>
      <c r="J34" s="6">
        <f t="shared" si="21"/>
        <v>171.99</v>
      </c>
      <c r="K34" s="6">
        <f t="shared" si="21"/>
        <v>227.25</v>
      </c>
      <c r="L34" s="6">
        <f t="shared" si="21"/>
        <v>274.725</v>
      </c>
      <c r="M34" s="6">
        <f t="shared" si="21"/>
        <v>326.7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33</v>
      </c>
      <c r="B35" s="6">
        <f t="shared" ref="B35:M35" si="22">B34</f>
        <v>0.825</v>
      </c>
      <c r="C35" s="6">
        <f t="shared" si="22"/>
        <v>4.41</v>
      </c>
      <c r="D35" s="6">
        <f t="shared" si="22"/>
        <v>12.555</v>
      </c>
      <c r="E35" s="6">
        <f t="shared" si="22"/>
        <v>27.06</v>
      </c>
      <c r="F35" s="6">
        <f t="shared" si="22"/>
        <v>45.9</v>
      </c>
      <c r="G35" s="6">
        <f t="shared" si="22"/>
        <v>71.37</v>
      </c>
      <c r="H35" s="6">
        <f t="shared" si="22"/>
        <v>96.915</v>
      </c>
      <c r="I35" s="6">
        <f t="shared" si="22"/>
        <v>136.08</v>
      </c>
      <c r="J35" s="6">
        <f t="shared" si="22"/>
        <v>171.99</v>
      </c>
      <c r="K35" s="6">
        <f t="shared" si="22"/>
        <v>227.25</v>
      </c>
      <c r="L35" s="6">
        <f t="shared" si="22"/>
        <v>274.725</v>
      </c>
      <c r="M35" s="6">
        <f t="shared" si="22"/>
        <v>326.7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34</v>
      </c>
      <c r="B36" s="6">
        <f t="shared" ref="B36:M36" si="23">B37+B38</f>
        <v>11.31</v>
      </c>
      <c r="C36" s="6">
        <f t="shared" si="23"/>
        <v>11.31</v>
      </c>
      <c r="D36" s="6">
        <f t="shared" si="23"/>
        <v>11.31</v>
      </c>
      <c r="E36" s="6">
        <f t="shared" si="23"/>
        <v>11.31</v>
      </c>
      <c r="F36" s="6">
        <f t="shared" si="23"/>
        <v>11.31</v>
      </c>
      <c r="G36" s="6">
        <f t="shared" si="23"/>
        <v>11.31</v>
      </c>
      <c r="H36" s="6">
        <f t="shared" si="23"/>
        <v>11.31</v>
      </c>
      <c r="I36" s="6">
        <f t="shared" si="23"/>
        <v>11.31</v>
      </c>
      <c r="J36" s="6">
        <f t="shared" si="23"/>
        <v>11.31</v>
      </c>
      <c r="K36" s="6">
        <f t="shared" si="23"/>
        <v>11.31</v>
      </c>
      <c r="L36" s="6">
        <f t="shared" si="23"/>
        <v>11.31</v>
      </c>
      <c r="M36" s="6">
        <f t="shared" si="23"/>
        <v>11.31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14</v>
      </c>
      <c r="B37" s="5">
        <f t="shared" ref="B37:M37" si="24">B16</f>
        <v>3.81</v>
      </c>
      <c r="C37" s="5">
        <f t="shared" si="24"/>
        <v>3.81</v>
      </c>
      <c r="D37" s="5">
        <f t="shared" si="24"/>
        <v>3.81</v>
      </c>
      <c r="E37" s="5">
        <f t="shared" si="24"/>
        <v>3.81</v>
      </c>
      <c r="F37" s="5">
        <f t="shared" si="24"/>
        <v>3.81</v>
      </c>
      <c r="G37" s="5">
        <f t="shared" si="24"/>
        <v>3.81</v>
      </c>
      <c r="H37" s="5">
        <f t="shared" si="24"/>
        <v>3.81</v>
      </c>
      <c r="I37" s="5">
        <f t="shared" si="24"/>
        <v>3.81</v>
      </c>
      <c r="J37" s="5">
        <f t="shared" si="24"/>
        <v>3.81</v>
      </c>
      <c r="K37" s="5">
        <f t="shared" si="24"/>
        <v>3.81</v>
      </c>
      <c r="L37" s="5">
        <f t="shared" si="24"/>
        <v>3.81</v>
      </c>
      <c r="M37" s="5">
        <f t="shared" si="24"/>
        <v>3.81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15</v>
      </c>
      <c r="B38" s="6">
        <f t="shared" ref="B38:M38" si="25">B17</f>
        <v>7.5</v>
      </c>
      <c r="C38" s="6">
        <f t="shared" si="25"/>
        <v>7.5</v>
      </c>
      <c r="D38" s="6">
        <f t="shared" si="25"/>
        <v>7.5</v>
      </c>
      <c r="E38" s="6">
        <f t="shared" si="25"/>
        <v>7.5</v>
      </c>
      <c r="F38" s="6">
        <f t="shared" si="25"/>
        <v>7.5</v>
      </c>
      <c r="G38" s="6">
        <f t="shared" si="25"/>
        <v>7.5</v>
      </c>
      <c r="H38" s="6">
        <f t="shared" si="25"/>
        <v>7.5</v>
      </c>
      <c r="I38" s="6">
        <f t="shared" si="25"/>
        <v>7.5</v>
      </c>
      <c r="J38" s="6">
        <f t="shared" si="25"/>
        <v>7.5</v>
      </c>
      <c r="K38" s="6">
        <f t="shared" si="25"/>
        <v>7.5</v>
      </c>
      <c r="L38" s="6">
        <f t="shared" si="25"/>
        <v>7.5</v>
      </c>
      <c r="M38" s="6">
        <f t="shared" si="25"/>
        <v>7.5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16</v>
      </c>
      <c r="B39" s="6">
        <f t="shared" ref="B39:M39" si="26">B18</f>
        <v>3</v>
      </c>
      <c r="C39" s="6">
        <f t="shared" si="26"/>
        <v>3</v>
      </c>
      <c r="D39" s="6">
        <f t="shared" si="26"/>
        <v>3</v>
      </c>
      <c r="E39" s="6">
        <f t="shared" si="26"/>
        <v>3</v>
      </c>
      <c r="F39" s="6">
        <f t="shared" si="26"/>
        <v>3</v>
      </c>
      <c r="G39" s="6">
        <f t="shared" si="26"/>
        <v>3</v>
      </c>
      <c r="H39" s="6">
        <f t="shared" si="26"/>
        <v>3</v>
      </c>
      <c r="I39" s="6">
        <f t="shared" si="26"/>
        <v>3</v>
      </c>
      <c r="J39" s="6">
        <f t="shared" si="26"/>
        <v>3</v>
      </c>
      <c r="K39" s="6">
        <f t="shared" si="26"/>
        <v>3</v>
      </c>
      <c r="L39" s="6">
        <f t="shared" si="26"/>
        <v>3</v>
      </c>
      <c r="M39" s="6">
        <f t="shared" si="26"/>
        <v>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17</v>
      </c>
      <c r="B40" s="6">
        <f t="shared" ref="B40:M40" si="27">B19</f>
        <v>4.5</v>
      </c>
      <c r="C40" s="6">
        <f t="shared" si="27"/>
        <v>4.5</v>
      </c>
      <c r="D40" s="6">
        <f t="shared" si="27"/>
        <v>4.5</v>
      </c>
      <c r="E40" s="6">
        <f t="shared" si="27"/>
        <v>4.5</v>
      </c>
      <c r="F40" s="6">
        <f t="shared" si="27"/>
        <v>4.5</v>
      </c>
      <c r="G40" s="6">
        <f t="shared" si="27"/>
        <v>4.5</v>
      </c>
      <c r="H40" s="6">
        <f t="shared" si="27"/>
        <v>4.5</v>
      </c>
      <c r="I40" s="6">
        <f t="shared" si="27"/>
        <v>4.5</v>
      </c>
      <c r="J40" s="6">
        <f t="shared" si="27"/>
        <v>4.5</v>
      </c>
      <c r="K40" s="6">
        <f t="shared" si="27"/>
        <v>4.5</v>
      </c>
      <c r="L40" s="6">
        <f t="shared" si="27"/>
        <v>4.5</v>
      </c>
      <c r="M40" s="6">
        <f t="shared" si="27"/>
        <v>4.5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18</v>
      </c>
      <c r="B41" s="5">
        <f t="shared" ref="B41:M41" si="28">B20</f>
        <v>30</v>
      </c>
      <c r="C41" s="5">
        <f t="shared" si="28"/>
        <v>30</v>
      </c>
      <c r="D41" s="5">
        <f t="shared" si="28"/>
        <v>30</v>
      </c>
      <c r="E41" s="5">
        <f t="shared" si="28"/>
        <v>30</v>
      </c>
      <c r="F41" s="5">
        <f t="shared" si="28"/>
        <v>30</v>
      </c>
      <c r="G41" s="5">
        <f t="shared" si="28"/>
        <v>30</v>
      </c>
      <c r="H41" s="5">
        <f t="shared" si="28"/>
        <v>30</v>
      </c>
      <c r="I41" s="5">
        <f t="shared" si="28"/>
        <v>30</v>
      </c>
      <c r="J41" s="5">
        <f t="shared" si="28"/>
        <v>30</v>
      </c>
      <c r="K41" s="5">
        <f t="shared" si="28"/>
        <v>30</v>
      </c>
      <c r="L41" s="5">
        <f t="shared" si="28"/>
        <v>30</v>
      </c>
      <c r="M41" s="5">
        <f t="shared" si="28"/>
        <v>30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35</v>
      </c>
      <c r="B42" s="6">
        <f t="shared" ref="B42:M42" si="29">B41-B36</f>
        <v>18.69</v>
      </c>
      <c r="C42" s="6">
        <f t="shared" si="29"/>
        <v>18.69</v>
      </c>
      <c r="D42" s="6">
        <f t="shared" si="29"/>
        <v>18.69</v>
      </c>
      <c r="E42" s="6">
        <f t="shared" si="29"/>
        <v>18.69</v>
      </c>
      <c r="F42" s="6">
        <f t="shared" si="29"/>
        <v>18.69</v>
      </c>
      <c r="G42" s="6">
        <f t="shared" si="29"/>
        <v>18.69</v>
      </c>
      <c r="H42" s="6">
        <f t="shared" si="29"/>
        <v>18.69</v>
      </c>
      <c r="I42" s="6">
        <f t="shared" si="29"/>
        <v>18.69</v>
      </c>
      <c r="J42" s="6">
        <f t="shared" si="29"/>
        <v>18.69</v>
      </c>
      <c r="K42" s="6">
        <f t="shared" si="29"/>
        <v>18.69</v>
      </c>
      <c r="L42" s="6">
        <f t="shared" si="29"/>
        <v>18.69</v>
      </c>
      <c r="M42" s="6">
        <f t="shared" si="29"/>
        <v>18.69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22</v>
      </c>
      <c r="B43" s="6">
        <f t="shared" ref="B43:M43" si="30">B41*B34</f>
        <v>24.75</v>
      </c>
      <c r="C43" s="6">
        <f t="shared" si="30"/>
        <v>132.3</v>
      </c>
      <c r="D43" s="6">
        <f t="shared" si="30"/>
        <v>376.65</v>
      </c>
      <c r="E43" s="6">
        <f t="shared" si="30"/>
        <v>811.8</v>
      </c>
      <c r="F43" s="6">
        <f t="shared" si="30"/>
        <v>1377</v>
      </c>
      <c r="G43" s="6">
        <f t="shared" si="30"/>
        <v>2141.1</v>
      </c>
      <c r="H43" s="6">
        <f t="shared" si="30"/>
        <v>2907.45</v>
      </c>
      <c r="I43" s="6">
        <f t="shared" si="30"/>
        <v>4082.4</v>
      </c>
      <c r="J43" s="6">
        <f t="shared" si="30"/>
        <v>5159.7</v>
      </c>
      <c r="K43" s="6">
        <f t="shared" si="30"/>
        <v>6817.5</v>
      </c>
      <c r="L43" s="6">
        <f t="shared" si="30"/>
        <v>8241.75</v>
      </c>
      <c r="M43" s="6">
        <f t="shared" si="30"/>
        <v>9801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23</v>
      </c>
      <c r="B44" s="6">
        <f t="shared" ref="B44:M44" si="31">B34*(B41-B36)</f>
        <v>15.41925</v>
      </c>
      <c r="C44" s="6">
        <f t="shared" si="31"/>
        <v>82.4229</v>
      </c>
      <c r="D44" s="6">
        <f t="shared" si="31"/>
        <v>234.65295</v>
      </c>
      <c r="E44" s="6">
        <f t="shared" si="31"/>
        <v>505.7514</v>
      </c>
      <c r="F44" s="6">
        <f t="shared" si="31"/>
        <v>857.871</v>
      </c>
      <c r="G44" s="6">
        <f t="shared" si="31"/>
        <v>1333.9053</v>
      </c>
      <c r="H44" s="6">
        <f t="shared" si="31"/>
        <v>1811.34135</v>
      </c>
      <c r="I44" s="6">
        <f t="shared" si="31"/>
        <v>2543.3352</v>
      </c>
      <c r="J44" s="6">
        <f t="shared" si="31"/>
        <v>3214.4931</v>
      </c>
      <c r="K44" s="6">
        <f t="shared" si="31"/>
        <v>4247.3025</v>
      </c>
      <c r="L44" s="6">
        <f t="shared" si="31"/>
        <v>5134.61025</v>
      </c>
      <c r="M44" s="6">
        <f t="shared" si="31"/>
        <v>6106.023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36</v>
      </c>
      <c r="B45" s="5">
        <f t="shared" ref="B45:M45" si="32">B42*B34-3%</f>
        <v>15.38925</v>
      </c>
      <c r="C45" s="5">
        <f t="shared" si="32"/>
        <v>82.3929</v>
      </c>
      <c r="D45" s="5">
        <f t="shared" si="32"/>
        <v>234.62295</v>
      </c>
      <c r="E45" s="5">
        <f t="shared" si="32"/>
        <v>505.7214</v>
      </c>
      <c r="F45" s="5">
        <f t="shared" si="32"/>
        <v>857.841</v>
      </c>
      <c r="G45" s="5">
        <f t="shared" si="32"/>
        <v>1333.8753</v>
      </c>
      <c r="H45" s="5">
        <f t="shared" si="32"/>
        <v>1811.31135</v>
      </c>
      <c r="I45" s="5">
        <f t="shared" si="32"/>
        <v>2543.3052</v>
      </c>
      <c r="J45" s="5">
        <f t="shared" si="32"/>
        <v>3214.4631</v>
      </c>
      <c r="K45" s="5">
        <f t="shared" si="32"/>
        <v>4247.2725</v>
      </c>
      <c r="L45" s="5">
        <f t="shared" si="32"/>
        <v>5134.58025</v>
      </c>
      <c r="M45" s="5">
        <f t="shared" si="32"/>
        <v>6105.993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4" t="s">
        <v>25</v>
      </c>
      <c r="B46" s="14"/>
      <c r="C46" s="14"/>
      <c r="D46" s="6">
        <v>0.3</v>
      </c>
      <c r="E46" s="6">
        <v>0.3</v>
      </c>
      <c r="F46" s="6">
        <v>0.3</v>
      </c>
      <c r="G46" s="6">
        <v>0.3</v>
      </c>
      <c r="H46" s="6">
        <v>0.3</v>
      </c>
      <c r="I46" s="6">
        <v>0.3</v>
      </c>
      <c r="J46" s="6">
        <v>0.3</v>
      </c>
      <c r="K46" s="6">
        <v>0.3</v>
      </c>
      <c r="L46" s="6">
        <v>0.3</v>
      </c>
      <c r="M46" s="6">
        <v>0.3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26</v>
      </c>
      <c r="B47" s="14"/>
      <c r="C47" s="14"/>
      <c r="D47" s="6">
        <f t="shared" ref="D47:M47" si="33">(D42*(1+D46))*B35</f>
        <v>20.045025</v>
      </c>
      <c r="E47" s="6">
        <f t="shared" si="33"/>
        <v>107.14977</v>
      </c>
      <c r="F47" s="6">
        <f t="shared" si="33"/>
        <v>305.048835</v>
      </c>
      <c r="G47" s="6">
        <f t="shared" si="33"/>
        <v>657.47682</v>
      </c>
      <c r="H47" s="6">
        <f t="shared" si="33"/>
        <v>1115.2323</v>
      </c>
      <c r="I47" s="6">
        <f t="shared" si="33"/>
        <v>1734.07689</v>
      </c>
      <c r="J47" s="6">
        <f t="shared" si="33"/>
        <v>2354.743755</v>
      </c>
      <c r="K47" s="6">
        <f t="shared" si="33"/>
        <v>3306.33576</v>
      </c>
      <c r="L47" s="6">
        <f t="shared" si="33"/>
        <v>4178.84103</v>
      </c>
      <c r="M47" s="6">
        <f t="shared" si="33"/>
        <v>5521.49325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27</v>
      </c>
      <c r="B48" s="14"/>
      <c r="C48" s="14"/>
      <c r="D48" s="14"/>
      <c r="E48" s="14"/>
      <c r="F48" s="6">
        <v>0.2</v>
      </c>
      <c r="G48" s="6">
        <v>0.2</v>
      </c>
      <c r="H48" s="6">
        <v>0.2</v>
      </c>
      <c r="I48" s="6">
        <v>0.2</v>
      </c>
      <c r="J48" s="6">
        <v>0.2</v>
      </c>
      <c r="K48" s="6">
        <v>0.2</v>
      </c>
      <c r="L48" s="6">
        <v>0.2</v>
      </c>
      <c r="M48" s="6">
        <v>0.2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28</v>
      </c>
      <c r="B49" s="14"/>
      <c r="C49" s="14"/>
      <c r="D49" s="14"/>
      <c r="E49" s="14"/>
      <c r="F49" s="6">
        <f t="shared" ref="F49:M49" si="34">(F42*(1+F46+F48)*B35)</f>
        <v>23.128875</v>
      </c>
      <c r="G49" s="6">
        <f t="shared" si="34"/>
        <v>123.63435</v>
      </c>
      <c r="H49" s="6">
        <f t="shared" si="34"/>
        <v>351.979425</v>
      </c>
      <c r="I49" s="6">
        <f t="shared" si="34"/>
        <v>758.6271</v>
      </c>
      <c r="J49" s="6">
        <f t="shared" si="34"/>
        <v>1286.8065</v>
      </c>
      <c r="K49" s="6">
        <f t="shared" si="34"/>
        <v>2000.85795</v>
      </c>
      <c r="L49" s="6">
        <f t="shared" si="34"/>
        <v>2717.012025</v>
      </c>
      <c r="M49" s="6">
        <f t="shared" si="34"/>
        <v>3815.0028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29</v>
      </c>
      <c r="B50" s="16">
        <f t="shared" ref="B50:M50" si="35">(B49+B47)</f>
        <v>0</v>
      </c>
      <c r="C50" s="16">
        <f t="shared" si="35"/>
        <v>0</v>
      </c>
      <c r="D50" s="16">
        <f t="shared" si="35"/>
        <v>20.045025</v>
      </c>
      <c r="E50" s="16">
        <f t="shared" si="35"/>
        <v>107.14977</v>
      </c>
      <c r="F50" s="16">
        <f t="shared" si="35"/>
        <v>328.17771</v>
      </c>
      <c r="G50" s="16">
        <f t="shared" si="35"/>
        <v>781.11117</v>
      </c>
      <c r="H50" s="16">
        <f t="shared" si="35"/>
        <v>1467.211725</v>
      </c>
      <c r="I50" s="16">
        <f t="shared" si="35"/>
        <v>2492.70399</v>
      </c>
      <c r="J50" s="16">
        <f t="shared" si="35"/>
        <v>3641.550255</v>
      </c>
      <c r="K50" s="16">
        <f t="shared" si="35"/>
        <v>5307.19371</v>
      </c>
      <c r="L50" s="16">
        <f t="shared" si="35"/>
        <v>6895.853055</v>
      </c>
      <c r="M50" s="16">
        <f t="shared" si="35"/>
        <v>9336.49605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37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38</v>
      </c>
      <c r="B52" s="6">
        <f t="shared" ref="B52:M52" si="36">B8+B34</f>
        <v>17.325</v>
      </c>
      <c r="C52" s="6">
        <f t="shared" si="36"/>
        <v>48.51</v>
      </c>
      <c r="D52" s="6">
        <f t="shared" si="36"/>
        <v>96.255</v>
      </c>
      <c r="E52" s="6">
        <f t="shared" si="36"/>
        <v>162.36</v>
      </c>
      <c r="F52" s="6">
        <f t="shared" si="36"/>
        <v>229.5</v>
      </c>
      <c r="G52" s="6">
        <f t="shared" si="36"/>
        <v>309.27</v>
      </c>
      <c r="H52" s="6">
        <f t="shared" si="36"/>
        <v>373.815</v>
      </c>
      <c r="I52" s="6">
        <f t="shared" si="36"/>
        <v>476.28</v>
      </c>
      <c r="J52" s="6">
        <f t="shared" si="36"/>
        <v>554.19</v>
      </c>
      <c r="K52" s="6">
        <f t="shared" si="36"/>
        <v>681.75</v>
      </c>
      <c r="L52" s="6">
        <f t="shared" si="36"/>
        <v>774.225</v>
      </c>
      <c r="M52" s="6">
        <f t="shared" si="36"/>
        <v>871.2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23</v>
      </c>
      <c r="B53" s="20">
        <f t="shared" ref="B53:M53" si="37">B25+B44</f>
        <v>323.80425</v>
      </c>
      <c r="C53" s="20">
        <f t="shared" si="37"/>
        <v>906.6519</v>
      </c>
      <c r="D53" s="20">
        <f t="shared" si="37"/>
        <v>1799.00595</v>
      </c>
      <c r="E53" s="20">
        <f t="shared" si="37"/>
        <v>3034.5084</v>
      </c>
      <c r="F53" s="20">
        <f t="shared" si="37"/>
        <v>4289.355</v>
      </c>
      <c r="G53" s="20">
        <f t="shared" si="37"/>
        <v>5780.2563</v>
      </c>
      <c r="H53" s="20">
        <f t="shared" si="37"/>
        <v>6986.60235</v>
      </c>
      <c r="I53" s="20">
        <f t="shared" si="37"/>
        <v>8901.6732</v>
      </c>
      <c r="J53" s="20">
        <f t="shared" si="37"/>
        <v>10357.8111</v>
      </c>
      <c r="K53" s="20">
        <f t="shared" si="37"/>
        <v>12741.9075</v>
      </c>
      <c r="L53" s="20">
        <f t="shared" si="37"/>
        <v>14470.26525</v>
      </c>
      <c r="M53" s="20">
        <f t="shared" si="37"/>
        <v>16282.728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4" t="s">
        <v>39</v>
      </c>
      <c r="B54" s="5">
        <f t="shared" ref="B54:M54" si="38">B26+B45</f>
        <v>-556.50575</v>
      </c>
      <c r="C54" s="5">
        <f t="shared" si="38"/>
        <v>-406.7781</v>
      </c>
      <c r="D54" s="5">
        <f t="shared" si="38"/>
        <v>-161.94405</v>
      </c>
      <c r="E54" s="5">
        <f t="shared" si="38"/>
        <v>411.6384</v>
      </c>
      <c r="F54" s="5">
        <f t="shared" si="38"/>
        <v>1008.525</v>
      </c>
      <c r="G54" s="5">
        <f t="shared" si="38"/>
        <v>1834.2663</v>
      </c>
      <c r="H54" s="5">
        <f t="shared" si="38"/>
        <v>2393.81235</v>
      </c>
      <c r="I54" s="5">
        <f t="shared" si="38"/>
        <v>3632.9232</v>
      </c>
      <c r="J54" s="5">
        <f t="shared" si="38"/>
        <v>4438.6611</v>
      </c>
      <c r="K54" s="5">
        <f t="shared" si="38"/>
        <v>6135.9975</v>
      </c>
      <c r="L54" s="5">
        <f t="shared" si="38"/>
        <v>7210.35525</v>
      </c>
      <c r="M54" s="5">
        <f t="shared" si="38"/>
        <v>8368.818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4" t="s">
        <v>22</v>
      </c>
      <c r="B55" s="6">
        <f t="shared" ref="B55:M55" si="39">B43+B24</f>
        <v>519.75</v>
      </c>
      <c r="C55" s="6">
        <f t="shared" si="39"/>
        <v>1455.3</v>
      </c>
      <c r="D55" s="6">
        <f t="shared" si="39"/>
        <v>2887.65</v>
      </c>
      <c r="E55" s="6">
        <f t="shared" si="39"/>
        <v>4870.8</v>
      </c>
      <c r="F55" s="6">
        <f t="shared" si="39"/>
        <v>6885</v>
      </c>
      <c r="G55" s="6">
        <f t="shared" si="39"/>
        <v>9278.1</v>
      </c>
      <c r="H55" s="6">
        <f t="shared" si="39"/>
        <v>11214.45</v>
      </c>
      <c r="I55" s="6">
        <f t="shared" si="39"/>
        <v>14288.4</v>
      </c>
      <c r="J55" s="6">
        <f t="shared" si="39"/>
        <v>16625.7</v>
      </c>
      <c r="K55" s="6">
        <f t="shared" si="39"/>
        <v>20452.5</v>
      </c>
      <c r="L55" s="6">
        <f t="shared" si="39"/>
        <v>23226.75</v>
      </c>
      <c r="M55" s="6">
        <f t="shared" si="39"/>
        <v>26136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40</v>
      </c>
      <c r="B56" s="6">
        <f t="shared" ref="B56:M56" si="40">B12/B55</f>
        <v>1.693660414</v>
      </c>
      <c r="C56" s="6">
        <f t="shared" si="40"/>
        <v>0.9024943311</v>
      </c>
      <c r="D56" s="6">
        <f t="shared" si="40"/>
        <v>0.6790712171</v>
      </c>
      <c r="E56" s="6">
        <f t="shared" si="40"/>
        <v>0.5384823848</v>
      </c>
      <c r="F56" s="6">
        <f t="shared" si="40"/>
        <v>0.4765141612</v>
      </c>
      <c r="G56" s="6">
        <f t="shared" si="40"/>
        <v>0.4252982831</v>
      </c>
      <c r="H56" s="6">
        <f t="shared" si="40"/>
        <v>0.4095394781</v>
      </c>
      <c r="I56" s="6">
        <f t="shared" si="40"/>
        <v>0.3687410767</v>
      </c>
      <c r="J56" s="6">
        <f t="shared" si="40"/>
        <v>0.3560223028</v>
      </c>
      <c r="K56" s="6">
        <f t="shared" si="40"/>
        <v>0.322986432</v>
      </c>
      <c r="L56" s="6">
        <f t="shared" si="40"/>
        <v>0.3125654687</v>
      </c>
      <c r="M56" s="6">
        <f t="shared" si="40"/>
        <v>0.3027961433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26</v>
      </c>
      <c r="B57" s="6">
        <f t="shared" ref="B57:M57" si="41">B28+B47</f>
        <v>0</v>
      </c>
      <c r="C57" s="6">
        <f t="shared" si="41"/>
        <v>0</v>
      </c>
      <c r="D57" s="6">
        <f t="shared" si="41"/>
        <v>374.687775</v>
      </c>
      <c r="E57" s="6">
        <f t="shared" si="41"/>
        <v>1055.01312</v>
      </c>
      <c r="F57" s="6">
        <f t="shared" si="41"/>
        <v>2104.054785</v>
      </c>
      <c r="G57" s="6">
        <f t="shared" si="41"/>
        <v>3565.54737</v>
      </c>
      <c r="H57" s="6">
        <f t="shared" si="41"/>
        <v>5061.4389</v>
      </c>
      <c r="I57" s="6">
        <f t="shared" si="41"/>
        <v>6847.38054</v>
      </c>
      <c r="J57" s="6">
        <f t="shared" si="41"/>
        <v>8306.293905</v>
      </c>
      <c r="K57" s="6">
        <f t="shared" si="41"/>
        <v>10618.42446</v>
      </c>
      <c r="L57" s="6">
        <f t="shared" si="41"/>
        <v>12393.65673</v>
      </c>
      <c r="M57" s="6">
        <f t="shared" si="41"/>
        <v>15290.289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28</v>
      </c>
      <c r="B58" s="6">
        <f t="shared" ref="B58:M58" si="42">B30+B49</f>
        <v>0</v>
      </c>
      <c r="C58" s="6">
        <f t="shared" si="42"/>
        <v>0</v>
      </c>
      <c r="D58" s="6">
        <f t="shared" si="42"/>
        <v>0</v>
      </c>
      <c r="E58" s="6">
        <f t="shared" si="42"/>
        <v>0</v>
      </c>
      <c r="F58" s="6">
        <f t="shared" si="42"/>
        <v>213.444495</v>
      </c>
      <c r="G58" s="6">
        <f t="shared" si="42"/>
        <v>632.296098</v>
      </c>
      <c r="H58" s="6">
        <f t="shared" si="42"/>
        <v>1317.398661</v>
      </c>
      <c r="I58" s="6">
        <f t="shared" si="42"/>
        <v>2319.215184</v>
      </c>
      <c r="J58" s="6">
        <f t="shared" si="42"/>
        <v>3404.500308</v>
      </c>
      <c r="K58" s="6">
        <f t="shared" si="42"/>
        <v>4744.863162</v>
      </c>
      <c r="L58" s="6">
        <f t="shared" si="42"/>
        <v>5910.854157</v>
      </c>
      <c r="M58" s="6">
        <f t="shared" si="42"/>
        <v>7738.964856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29</v>
      </c>
      <c r="B59" s="6">
        <f t="shared" ref="B59:M59" si="43">B50+B31</f>
        <v>-880.28</v>
      </c>
      <c r="C59" s="6">
        <f t="shared" si="43"/>
        <v>-1313.4</v>
      </c>
      <c r="D59" s="6">
        <f t="shared" si="43"/>
        <v>-1586.232225</v>
      </c>
      <c r="E59" s="6">
        <f t="shared" si="43"/>
        <v>-1567.82688</v>
      </c>
      <c r="F59" s="6">
        <f t="shared" si="43"/>
        <v>-963.30072</v>
      </c>
      <c r="G59" s="6">
        <f t="shared" si="43"/>
        <v>251.883468</v>
      </c>
      <c r="H59" s="6">
        <f t="shared" si="43"/>
        <v>1786.077561</v>
      </c>
      <c r="I59" s="6">
        <f t="shared" si="43"/>
        <v>3897.875724</v>
      </c>
      <c r="J59" s="6">
        <f t="shared" si="43"/>
        <v>5791.674213</v>
      </c>
      <c r="K59" s="6">
        <f t="shared" si="43"/>
        <v>8757.407622</v>
      </c>
      <c r="L59" s="6">
        <f t="shared" si="43"/>
        <v>11044.63089</v>
      </c>
      <c r="M59" s="6">
        <f t="shared" si="43"/>
        <v>15115.37386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41</v>
      </c>
      <c r="B60" s="6">
        <f t="shared" ref="B60:M60" si="44">B59+B54</f>
        <v>-1436.78575</v>
      </c>
      <c r="C60" s="6">
        <f t="shared" si="44"/>
        <v>-1720.1781</v>
      </c>
      <c r="D60" s="6">
        <f t="shared" si="44"/>
        <v>-1748.176275</v>
      </c>
      <c r="E60" s="6">
        <f t="shared" si="44"/>
        <v>-1156.18848</v>
      </c>
      <c r="F60" s="6">
        <f t="shared" si="44"/>
        <v>45.22428</v>
      </c>
      <c r="G60" s="6">
        <f t="shared" si="44"/>
        <v>2086.149768</v>
      </c>
      <c r="H60" s="6">
        <f t="shared" si="44"/>
        <v>4179.889911</v>
      </c>
      <c r="I60" s="6">
        <f t="shared" si="44"/>
        <v>7530.798924</v>
      </c>
      <c r="J60" s="6">
        <f t="shared" si="44"/>
        <v>10230.33531</v>
      </c>
      <c r="K60" s="6">
        <f t="shared" si="44"/>
        <v>14893.40512</v>
      </c>
      <c r="L60" s="6">
        <f t="shared" si="44"/>
        <v>18254.98614</v>
      </c>
      <c r="M60" s="6">
        <f t="shared" si="44"/>
        <v>23484.19186</v>
      </c>
      <c r="N60" s="32">
        <f>SUM(B60:M60)</f>
        <v>74643.65271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3">
    <mergeCell ref="A1:M1"/>
    <mergeCell ref="A32:M32"/>
    <mergeCell ref="A51:M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</v>
      </c>
      <c r="B2" s="5">
        <v>1.0</v>
      </c>
      <c r="C2" s="5">
        <v>2.0</v>
      </c>
      <c r="D2" s="5">
        <v>3.0</v>
      </c>
      <c r="E2" s="6">
        <v>4.0</v>
      </c>
      <c r="F2" s="6">
        <v>5.0</v>
      </c>
      <c r="G2" s="6">
        <v>6.0</v>
      </c>
      <c r="H2" s="6">
        <v>7.0</v>
      </c>
      <c r="I2" s="6">
        <v>8.0</v>
      </c>
      <c r="J2" s="6">
        <v>9.0</v>
      </c>
      <c r="K2" s="6">
        <v>10.0</v>
      </c>
      <c r="L2" s="6">
        <v>11.0</v>
      </c>
      <c r="M2" s="6">
        <v>12.0</v>
      </c>
      <c r="N2" s="3"/>
      <c r="O2" s="3"/>
      <c r="P2" s="3"/>
      <c r="Q2" s="3"/>
      <c r="R2" s="3"/>
      <c r="S2" s="3"/>
      <c r="T2" s="3"/>
      <c r="U2" s="3"/>
      <c r="V2" s="3"/>
    </row>
    <row r="3">
      <c r="A3" s="7" t="s">
        <v>2</v>
      </c>
      <c r="B3" s="8">
        <v>15.0</v>
      </c>
      <c r="C3" s="5">
        <f t="shared" ref="C3:M3" si="1">B3+10</f>
        <v>25</v>
      </c>
      <c r="D3" s="5">
        <f t="shared" si="1"/>
        <v>35</v>
      </c>
      <c r="E3" s="5">
        <f t="shared" si="1"/>
        <v>45</v>
      </c>
      <c r="F3" s="5">
        <f t="shared" si="1"/>
        <v>55</v>
      </c>
      <c r="G3" s="5">
        <f t="shared" si="1"/>
        <v>65</v>
      </c>
      <c r="H3" s="5">
        <f t="shared" si="1"/>
        <v>75</v>
      </c>
      <c r="I3" s="5">
        <f t="shared" si="1"/>
        <v>85</v>
      </c>
      <c r="J3" s="5">
        <f t="shared" si="1"/>
        <v>95</v>
      </c>
      <c r="K3" s="5">
        <f t="shared" si="1"/>
        <v>105</v>
      </c>
      <c r="L3" s="5">
        <f t="shared" si="1"/>
        <v>115</v>
      </c>
      <c r="M3" s="5">
        <f t="shared" si="1"/>
        <v>125</v>
      </c>
      <c r="N3" s="3"/>
      <c r="O3" s="3"/>
      <c r="P3" s="3"/>
      <c r="Q3" s="3"/>
      <c r="R3" s="3"/>
      <c r="S3" s="3"/>
      <c r="T3" s="3"/>
      <c r="U3" s="3"/>
      <c r="V3" s="3"/>
    </row>
    <row r="4">
      <c r="A4" s="9" t="s">
        <v>3</v>
      </c>
      <c r="B4" s="5">
        <v>30.0</v>
      </c>
      <c r="C4" s="5">
        <v>30.0</v>
      </c>
      <c r="D4" s="5">
        <v>30.0</v>
      </c>
      <c r="E4" s="5">
        <v>30.0</v>
      </c>
      <c r="F4" s="5">
        <v>30.0</v>
      </c>
      <c r="G4" s="5">
        <v>30.0</v>
      </c>
      <c r="H4" s="5">
        <v>30.0</v>
      </c>
      <c r="I4" s="5">
        <v>30.0</v>
      </c>
      <c r="J4" s="5">
        <v>30.0</v>
      </c>
      <c r="K4" s="5">
        <v>30.0</v>
      </c>
      <c r="L4" s="5">
        <v>30.0</v>
      </c>
      <c r="M4" s="5">
        <v>30.0</v>
      </c>
      <c r="N4" s="3"/>
      <c r="O4" s="3"/>
      <c r="P4" s="3"/>
      <c r="Q4" s="3"/>
      <c r="R4" s="3"/>
      <c r="S4" s="3"/>
      <c r="T4" s="3"/>
      <c r="U4" s="3"/>
      <c r="V4" s="3"/>
    </row>
    <row r="5">
      <c r="A5" s="7" t="s">
        <v>4</v>
      </c>
      <c r="B5" s="5">
        <f t="shared" ref="B5:M5" si="2">B3*B4</f>
        <v>450</v>
      </c>
      <c r="C5" s="5">
        <f t="shared" si="2"/>
        <v>750</v>
      </c>
      <c r="D5" s="5">
        <f t="shared" si="2"/>
        <v>1050</v>
      </c>
      <c r="E5" s="5">
        <f t="shared" si="2"/>
        <v>1350</v>
      </c>
      <c r="F5" s="5">
        <f t="shared" si="2"/>
        <v>1650</v>
      </c>
      <c r="G5" s="5">
        <f t="shared" si="2"/>
        <v>1950</v>
      </c>
      <c r="H5" s="5">
        <f t="shared" si="2"/>
        <v>2250</v>
      </c>
      <c r="I5" s="5">
        <f t="shared" si="2"/>
        <v>2550</v>
      </c>
      <c r="J5" s="5">
        <f t="shared" si="2"/>
        <v>2850</v>
      </c>
      <c r="K5" s="5">
        <f t="shared" si="2"/>
        <v>3150</v>
      </c>
      <c r="L5" s="5">
        <f t="shared" si="2"/>
        <v>3450</v>
      </c>
      <c r="M5" s="5">
        <f t="shared" si="2"/>
        <v>3750</v>
      </c>
      <c r="N5" s="3"/>
      <c r="O5" s="3"/>
      <c r="P5" s="3"/>
      <c r="Q5" s="3"/>
      <c r="R5" s="3"/>
      <c r="S5" s="3"/>
      <c r="T5" s="3"/>
      <c r="U5" s="3"/>
      <c r="V5" s="3"/>
    </row>
    <row r="6">
      <c r="A6" s="7" t="s">
        <v>5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>
        <v>1.0</v>
      </c>
      <c r="J6" s="8">
        <v>1.0</v>
      </c>
      <c r="K6" s="8">
        <v>1.0</v>
      </c>
      <c r="L6" s="8">
        <v>1.0</v>
      </c>
      <c r="M6" s="8">
        <v>1.0</v>
      </c>
      <c r="N6" s="3"/>
      <c r="O6" s="3"/>
      <c r="P6" s="3"/>
      <c r="Q6" s="3"/>
      <c r="R6" s="3"/>
      <c r="S6" s="3"/>
      <c r="T6" s="3"/>
      <c r="U6" s="3"/>
      <c r="V6" s="3"/>
    </row>
    <row r="7">
      <c r="A7" s="7" t="s">
        <v>6</v>
      </c>
      <c r="B7" s="5">
        <v>5.0</v>
      </c>
      <c r="C7" s="8">
        <v>7.0</v>
      </c>
      <c r="D7" s="8">
        <v>9.0</v>
      </c>
      <c r="E7" s="8">
        <v>11.0</v>
      </c>
      <c r="F7" s="8">
        <v>12.0</v>
      </c>
      <c r="G7" s="8">
        <v>13.0</v>
      </c>
      <c r="H7" s="8">
        <v>13.0</v>
      </c>
      <c r="I7" s="8">
        <v>14.0</v>
      </c>
      <c r="J7" s="8">
        <v>14.0</v>
      </c>
      <c r="K7" s="8">
        <v>15.0</v>
      </c>
      <c r="L7" s="5">
        <v>15.0</v>
      </c>
      <c r="M7" s="5">
        <v>15.0</v>
      </c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7</v>
      </c>
      <c r="B8" s="6">
        <f t="shared" ref="B8:M8" si="3">B5*B7/100</f>
        <v>22.5</v>
      </c>
      <c r="C8" s="6">
        <f t="shared" si="3"/>
        <v>52.5</v>
      </c>
      <c r="D8" s="6">
        <f t="shared" si="3"/>
        <v>94.5</v>
      </c>
      <c r="E8" s="6">
        <f t="shared" si="3"/>
        <v>148.5</v>
      </c>
      <c r="F8" s="6">
        <f t="shared" si="3"/>
        <v>198</v>
      </c>
      <c r="G8" s="6">
        <f t="shared" si="3"/>
        <v>253.5</v>
      </c>
      <c r="H8" s="6">
        <f t="shared" si="3"/>
        <v>292.5</v>
      </c>
      <c r="I8" s="6">
        <f t="shared" si="3"/>
        <v>357</v>
      </c>
      <c r="J8" s="6">
        <f t="shared" si="3"/>
        <v>399</v>
      </c>
      <c r="K8" s="6">
        <f t="shared" si="3"/>
        <v>472.5</v>
      </c>
      <c r="L8" s="6">
        <f t="shared" si="3"/>
        <v>517.5</v>
      </c>
      <c r="M8" s="6">
        <f t="shared" si="3"/>
        <v>562.5</v>
      </c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8</v>
      </c>
      <c r="B9" s="6">
        <f t="shared" ref="B9:M9" si="4">B8</f>
        <v>22.5</v>
      </c>
      <c r="C9" s="6">
        <f t="shared" si="4"/>
        <v>52.5</v>
      </c>
      <c r="D9" s="6">
        <f t="shared" si="4"/>
        <v>94.5</v>
      </c>
      <c r="E9" s="6">
        <f t="shared" si="4"/>
        <v>148.5</v>
      </c>
      <c r="F9" s="6">
        <f t="shared" si="4"/>
        <v>198</v>
      </c>
      <c r="G9" s="6">
        <f t="shared" si="4"/>
        <v>253.5</v>
      </c>
      <c r="H9" s="6">
        <f t="shared" si="4"/>
        <v>292.5</v>
      </c>
      <c r="I9" s="6">
        <f t="shared" si="4"/>
        <v>357</v>
      </c>
      <c r="J9" s="6">
        <f t="shared" si="4"/>
        <v>399</v>
      </c>
      <c r="K9" s="6">
        <f t="shared" si="4"/>
        <v>472.5</v>
      </c>
      <c r="L9" s="6">
        <f t="shared" si="4"/>
        <v>517.5</v>
      </c>
      <c r="M9" s="6">
        <f t="shared" si="4"/>
        <v>562.5</v>
      </c>
      <c r="N9" s="3"/>
      <c r="O9" s="3"/>
      <c r="P9" s="3"/>
      <c r="Q9" s="3"/>
      <c r="R9" s="3"/>
      <c r="S9" s="3"/>
      <c r="T9" s="3"/>
      <c r="U9" s="3"/>
      <c r="V9" s="3"/>
    </row>
    <row r="10">
      <c r="A10" s="10" t="s">
        <v>9</v>
      </c>
      <c r="B10" s="8">
        <v>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</row>
    <row r="11">
      <c r="A11" s="10" t="s">
        <v>47</v>
      </c>
      <c r="B11" s="11">
        <f t="shared" ref="B11:M11" si="5">(0.6+B20*0.05*B8)*0.8</f>
        <v>21.18</v>
      </c>
      <c r="C11" s="11">
        <f t="shared" si="5"/>
        <v>48.78</v>
      </c>
      <c r="D11" s="11">
        <f t="shared" si="5"/>
        <v>87.42</v>
      </c>
      <c r="E11" s="11">
        <f t="shared" si="5"/>
        <v>137.1</v>
      </c>
      <c r="F11" s="11">
        <f t="shared" si="5"/>
        <v>182.64</v>
      </c>
      <c r="G11" s="11">
        <f t="shared" si="5"/>
        <v>233.7</v>
      </c>
      <c r="H11" s="11">
        <f t="shared" si="5"/>
        <v>269.58</v>
      </c>
      <c r="I11" s="11">
        <f t="shared" si="5"/>
        <v>328.92</v>
      </c>
      <c r="J11" s="11">
        <f t="shared" si="5"/>
        <v>367.56</v>
      </c>
      <c r="K11" s="11">
        <f t="shared" si="5"/>
        <v>435.18</v>
      </c>
      <c r="L11" s="11">
        <f t="shared" si="5"/>
        <v>476.58</v>
      </c>
      <c r="M11" s="11">
        <f t="shared" si="5"/>
        <v>517.98</v>
      </c>
      <c r="N11" s="3"/>
      <c r="O11" s="3"/>
      <c r="P11" s="3"/>
      <c r="Q11" s="3"/>
      <c r="R11" s="3"/>
      <c r="S11" s="3"/>
      <c r="T11" s="3"/>
      <c r="U11" s="3"/>
      <c r="V11" s="3"/>
    </row>
    <row r="12">
      <c r="A12" s="12" t="s">
        <v>11</v>
      </c>
      <c r="B12" s="11">
        <f t="shared" ref="B12:M12" si="6">B5*B6+B10+B11</f>
        <v>671.18</v>
      </c>
      <c r="C12" s="11">
        <f t="shared" si="6"/>
        <v>798.78</v>
      </c>
      <c r="D12" s="11">
        <f t="shared" si="6"/>
        <v>1137.42</v>
      </c>
      <c r="E12" s="11">
        <f t="shared" si="6"/>
        <v>1487.1</v>
      </c>
      <c r="F12" s="11">
        <f t="shared" si="6"/>
        <v>1832.64</v>
      </c>
      <c r="G12" s="11">
        <f t="shared" si="6"/>
        <v>2183.7</v>
      </c>
      <c r="H12" s="11">
        <f t="shared" si="6"/>
        <v>2519.58</v>
      </c>
      <c r="I12" s="11">
        <f t="shared" si="6"/>
        <v>2878.92</v>
      </c>
      <c r="J12" s="11">
        <f t="shared" si="6"/>
        <v>3217.56</v>
      </c>
      <c r="K12" s="11">
        <f t="shared" si="6"/>
        <v>3585.18</v>
      </c>
      <c r="L12" s="11">
        <f t="shared" si="6"/>
        <v>3926.58</v>
      </c>
      <c r="M12" s="11">
        <f t="shared" si="6"/>
        <v>4267.98</v>
      </c>
      <c r="N12" s="3"/>
      <c r="O12" s="3"/>
      <c r="P12" s="3"/>
      <c r="Q12" s="3"/>
      <c r="R12" s="3"/>
      <c r="S12" s="3"/>
      <c r="T12" s="3"/>
      <c r="U12" s="3"/>
      <c r="V12" s="3"/>
    </row>
    <row r="13">
      <c r="A13" s="10" t="s">
        <v>44</v>
      </c>
      <c r="B13" s="6">
        <f t="shared" ref="B13:M13" si="7">B12/B4</f>
        <v>22.37266667</v>
      </c>
      <c r="C13" s="6">
        <f t="shared" si="7"/>
        <v>26.626</v>
      </c>
      <c r="D13" s="6">
        <f t="shared" si="7"/>
        <v>37.914</v>
      </c>
      <c r="E13" s="6">
        <f t="shared" si="7"/>
        <v>49.57</v>
      </c>
      <c r="F13" s="6">
        <f t="shared" si="7"/>
        <v>61.088</v>
      </c>
      <c r="G13" s="6">
        <f t="shared" si="7"/>
        <v>72.79</v>
      </c>
      <c r="H13" s="6">
        <f t="shared" si="7"/>
        <v>83.986</v>
      </c>
      <c r="I13" s="6">
        <f t="shared" si="7"/>
        <v>95.964</v>
      </c>
      <c r="J13" s="6">
        <f t="shared" si="7"/>
        <v>107.252</v>
      </c>
      <c r="K13" s="6">
        <f t="shared" si="7"/>
        <v>119.506</v>
      </c>
      <c r="L13" s="6">
        <f t="shared" si="7"/>
        <v>130.886</v>
      </c>
      <c r="M13" s="6">
        <f t="shared" si="7"/>
        <v>142.266</v>
      </c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12</v>
      </c>
      <c r="B14" s="6">
        <f t="shared" ref="B14:M14" si="8">B12/B9</f>
        <v>29.83022222</v>
      </c>
      <c r="C14" s="6">
        <f t="shared" si="8"/>
        <v>15.21485714</v>
      </c>
      <c r="D14" s="6">
        <f t="shared" si="8"/>
        <v>12.03619048</v>
      </c>
      <c r="E14" s="6">
        <f t="shared" si="8"/>
        <v>10.01414141</v>
      </c>
      <c r="F14" s="6">
        <f t="shared" si="8"/>
        <v>9.255757576</v>
      </c>
      <c r="G14" s="6">
        <f t="shared" si="8"/>
        <v>8.614201183</v>
      </c>
      <c r="H14" s="6">
        <f t="shared" si="8"/>
        <v>8.613948718</v>
      </c>
      <c r="I14" s="6">
        <f t="shared" si="8"/>
        <v>8.064201681</v>
      </c>
      <c r="J14" s="6">
        <f t="shared" si="8"/>
        <v>8.06406015</v>
      </c>
      <c r="K14" s="6">
        <f t="shared" si="8"/>
        <v>7.58768254</v>
      </c>
      <c r="L14" s="6">
        <f t="shared" si="8"/>
        <v>7.587594203</v>
      </c>
      <c r="M14" s="6">
        <f t="shared" si="8"/>
        <v>7.58752</v>
      </c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13</v>
      </c>
      <c r="B15" s="6">
        <f t="shared" ref="B15:M15" si="9">B16+B17</f>
        <v>10.45</v>
      </c>
      <c r="C15" s="6">
        <f t="shared" si="9"/>
        <v>10.45</v>
      </c>
      <c r="D15" s="6">
        <f t="shared" si="9"/>
        <v>10.45</v>
      </c>
      <c r="E15" s="6">
        <f t="shared" si="9"/>
        <v>10.45</v>
      </c>
      <c r="F15" s="6">
        <f t="shared" si="9"/>
        <v>10.45</v>
      </c>
      <c r="G15" s="6">
        <f t="shared" si="9"/>
        <v>10.45</v>
      </c>
      <c r="H15" s="6">
        <f t="shared" si="9"/>
        <v>10.45</v>
      </c>
      <c r="I15" s="6">
        <f t="shared" si="9"/>
        <v>10.45</v>
      </c>
      <c r="J15" s="6">
        <f t="shared" si="9"/>
        <v>10.45</v>
      </c>
      <c r="K15" s="6">
        <f t="shared" si="9"/>
        <v>10.45</v>
      </c>
      <c r="L15" s="6">
        <f t="shared" si="9"/>
        <v>10.45</v>
      </c>
      <c r="M15" s="6">
        <f t="shared" si="9"/>
        <v>10.45</v>
      </c>
      <c r="N15" s="3"/>
      <c r="O15" s="3"/>
      <c r="P15" s="3"/>
      <c r="Q15" s="3"/>
      <c r="R15" s="3"/>
      <c r="S15" s="3"/>
      <c r="T15" s="3"/>
      <c r="U15" s="3"/>
      <c r="V15" s="3"/>
    </row>
    <row r="16">
      <c r="A16" s="7" t="s">
        <v>14</v>
      </c>
      <c r="B16" s="5">
        <v>4.0</v>
      </c>
      <c r="C16" s="5">
        <v>4.0</v>
      </c>
      <c r="D16" s="5">
        <v>4.0</v>
      </c>
      <c r="E16" s="5">
        <v>4.0</v>
      </c>
      <c r="F16" s="5">
        <v>4.0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4.0</v>
      </c>
      <c r="M16" s="5">
        <v>4.0</v>
      </c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15</v>
      </c>
      <c r="B17" s="6">
        <f t="shared" ref="B17:M17" si="10">B18+B19</f>
        <v>6.45</v>
      </c>
      <c r="C17" s="6">
        <f t="shared" si="10"/>
        <v>6.45</v>
      </c>
      <c r="D17" s="6">
        <f t="shared" si="10"/>
        <v>6.45</v>
      </c>
      <c r="E17" s="6">
        <f t="shared" si="10"/>
        <v>6.45</v>
      </c>
      <c r="F17" s="6">
        <f t="shared" si="10"/>
        <v>6.45</v>
      </c>
      <c r="G17" s="6">
        <f t="shared" si="10"/>
        <v>6.45</v>
      </c>
      <c r="H17" s="6">
        <f t="shared" si="10"/>
        <v>6.45</v>
      </c>
      <c r="I17" s="6">
        <f t="shared" si="10"/>
        <v>6.45</v>
      </c>
      <c r="J17" s="6">
        <f t="shared" si="10"/>
        <v>6.45</v>
      </c>
      <c r="K17" s="6">
        <f t="shared" si="10"/>
        <v>6.45</v>
      </c>
      <c r="L17" s="6">
        <f t="shared" si="10"/>
        <v>6.45</v>
      </c>
      <c r="M17" s="6">
        <f t="shared" si="10"/>
        <v>6.45</v>
      </c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16</v>
      </c>
      <c r="B18" s="6">
        <v>3.0</v>
      </c>
      <c r="C18" s="6">
        <v>3.0</v>
      </c>
      <c r="D18" s="6">
        <v>3.0</v>
      </c>
      <c r="E18" s="6">
        <v>3.0</v>
      </c>
      <c r="F18" s="6">
        <v>3.0</v>
      </c>
      <c r="G18" s="6">
        <v>3.0</v>
      </c>
      <c r="H18" s="6">
        <v>3.0</v>
      </c>
      <c r="I18" s="6">
        <v>3.0</v>
      </c>
      <c r="J18" s="6">
        <v>3.0</v>
      </c>
      <c r="K18" s="6">
        <v>3.0</v>
      </c>
      <c r="L18" s="6">
        <v>3.0</v>
      </c>
      <c r="M18" s="6">
        <v>3.0</v>
      </c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17</v>
      </c>
      <c r="B19" s="6">
        <f t="shared" ref="B19:M19" si="11">B20*0.15</f>
        <v>3.45</v>
      </c>
      <c r="C19" s="6">
        <f t="shared" si="11"/>
        <v>3.45</v>
      </c>
      <c r="D19" s="6">
        <f t="shared" si="11"/>
        <v>3.45</v>
      </c>
      <c r="E19" s="6">
        <f t="shared" si="11"/>
        <v>3.45</v>
      </c>
      <c r="F19" s="6">
        <f t="shared" si="11"/>
        <v>3.45</v>
      </c>
      <c r="G19" s="6">
        <f t="shared" si="11"/>
        <v>3.45</v>
      </c>
      <c r="H19" s="6">
        <f t="shared" si="11"/>
        <v>3.45</v>
      </c>
      <c r="I19" s="6">
        <f t="shared" si="11"/>
        <v>3.45</v>
      </c>
      <c r="J19" s="6">
        <f t="shared" si="11"/>
        <v>3.45</v>
      </c>
      <c r="K19" s="6">
        <f t="shared" si="11"/>
        <v>3.45</v>
      </c>
      <c r="L19" s="6">
        <f t="shared" si="11"/>
        <v>3.45</v>
      </c>
      <c r="M19" s="6">
        <f t="shared" si="11"/>
        <v>3.45</v>
      </c>
      <c r="N19" s="3"/>
      <c r="O19" s="3"/>
      <c r="P19" s="3"/>
      <c r="Q19" s="3"/>
      <c r="R19" s="3"/>
      <c r="S19" s="3"/>
      <c r="T19" s="3"/>
      <c r="U19" s="3"/>
      <c r="V19" s="3"/>
    </row>
    <row r="20">
      <c r="A20" s="25" t="s">
        <v>18</v>
      </c>
      <c r="B20" s="23">
        <v>23.0</v>
      </c>
      <c r="C20" s="23">
        <v>23.0</v>
      </c>
      <c r="D20" s="23">
        <v>23.0</v>
      </c>
      <c r="E20" s="23">
        <v>23.0</v>
      </c>
      <c r="F20" s="23">
        <v>23.0</v>
      </c>
      <c r="G20" s="23">
        <v>23.0</v>
      </c>
      <c r="H20" s="23">
        <v>23.0</v>
      </c>
      <c r="I20" s="23">
        <v>23.0</v>
      </c>
      <c r="J20" s="23">
        <v>23.0</v>
      </c>
      <c r="K20" s="23">
        <v>23.0</v>
      </c>
      <c r="L20" s="23">
        <v>23.0</v>
      </c>
      <c r="M20" s="23">
        <v>23.0</v>
      </c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19</v>
      </c>
      <c r="B21" s="6">
        <f t="shared" ref="B21:M21" si="12">B20-B15-B14</f>
        <v>-17.28022222</v>
      </c>
      <c r="C21" s="6">
        <f t="shared" si="12"/>
        <v>-2.664857143</v>
      </c>
      <c r="D21" s="6">
        <f t="shared" si="12"/>
        <v>0.5138095238</v>
      </c>
      <c r="E21" s="6">
        <f t="shared" si="12"/>
        <v>2.535858586</v>
      </c>
      <c r="F21" s="6">
        <f t="shared" si="12"/>
        <v>3.294242424</v>
      </c>
      <c r="G21" s="6">
        <f t="shared" si="12"/>
        <v>3.935798817</v>
      </c>
      <c r="H21" s="6">
        <f t="shared" si="12"/>
        <v>3.936051282</v>
      </c>
      <c r="I21" s="6">
        <f t="shared" si="12"/>
        <v>4.485798319</v>
      </c>
      <c r="J21" s="6">
        <f t="shared" si="12"/>
        <v>4.48593985</v>
      </c>
      <c r="K21" s="6">
        <f t="shared" si="12"/>
        <v>4.96231746</v>
      </c>
      <c r="L21" s="6">
        <f t="shared" si="12"/>
        <v>4.962405797</v>
      </c>
      <c r="M21" s="6">
        <f t="shared" si="12"/>
        <v>4.96248</v>
      </c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20</v>
      </c>
      <c r="B22" s="6">
        <f t="shared" ref="B22:M22" si="13">B20-B15</f>
        <v>12.55</v>
      </c>
      <c r="C22" s="6">
        <f t="shared" si="13"/>
        <v>12.55</v>
      </c>
      <c r="D22" s="6">
        <f t="shared" si="13"/>
        <v>12.55</v>
      </c>
      <c r="E22" s="6">
        <f t="shared" si="13"/>
        <v>12.55</v>
      </c>
      <c r="F22" s="6">
        <f t="shared" si="13"/>
        <v>12.55</v>
      </c>
      <c r="G22" s="6">
        <f t="shared" si="13"/>
        <v>12.55</v>
      </c>
      <c r="H22" s="6">
        <f t="shared" si="13"/>
        <v>12.55</v>
      </c>
      <c r="I22" s="6">
        <f t="shared" si="13"/>
        <v>12.55</v>
      </c>
      <c r="J22" s="6">
        <f t="shared" si="13"/>
        <v>12.55</v>
      </c>
      <c r="K22" s="6">
        <f t="shared" si="13"/>
        <v>12.55</v>
      </c>
      <c r="L22" s="6">
        <f t="shared" si="13"/>
        <v>12.55</v>
      </c>
      <c r="M22" s="6">
        <f t="shared" si="13"/>
        <v>12.55</v>
      </c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21</v>
      </c>
      <c r="B23" s="6">
        <f t="shared" ref="B23:M23" si="14">B24/B12</f>
        <v>0.771030126</v>
      </c>
      <c r="C23" s="6">
        <f t="shared" si="14"/>
        <v>1.511680312</v>
      </c>
      <c r="D23" s="6">
        <f t="shared" si="14"/>
        <v>1.910903624</v>
      </c>
      <c r="E23" s="6">
        <f t="shared" si="14"/>
        <v>2.296752068</v>
      </c>
      <c r="F23" s="6">
        <f t="shared" si="14"/>
        <v>2.484939759</v>
      </c>
      <c r="G23" s="6">
        <f t="shared" si="14"/>
        <v>2.670009617</v>
      </c>
      <c r="H23" s="6">
        <f t="shared" si="14"/>
        <v>2.670087872</v>
      </c>
      <c r="I23" s="6">
        <f t="shared" si="14"/>
        <v>2.852111208</v>
      </c>
      <c r="J23" s="6">
        <f t="shared" si="14"/>
        <v>2.852161265</v>
      </c>
      <c r="K23" s="6">
        <f t="shared" si="14"/>
        <v>3.031228558</v>
      </c>
      <c r="L23" s="6">
        <f t="shared" si="14"/>
        <v>3.031263848</v>
      </c>
      <c r="M23" s="6">
        <f t="shared" si="14"/>
        <v>3.031293492</v>
      </c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22</v>
      </c>
      <c r="B24" s="6">
        <f t="shared" ref="B24:M24" si="15">B8*B20</f>
        <v>517.5</v>
      </c>
      <c r="C24" s="6">
        <f t="shared" si="15"/>
        <v>1207.5</v>
      </c>
      <c r="D24" s="6">
        <f t="shared" si="15"/>
        <v>2173.5</v>
      </c>
      <c r="E24" s="6">
        <f t="shared" si="15"/>
        <v>3415.5</v>
      </c>
      <c r="F24" s="6">
        <f t="shared" si="15"/>
        <v>4554</v>
      </c>
      <c r="G24" s="6">
        <f t="shared" si="15"/>
        <v>5830.5</v>
      </c>
      <c r="H24" s="6">
        <f t="shared" si="15"/>
        <v>6727.5</v>
      </c>
      <c r="I24" s="6">
        <f t="shared" si="15"/>
        <v>8211</v>
      </c>
      <c r="J24" s="6">
        <f t="shared" si="15"/>
        <v>9177</v>
      </c>
      <c r="K24" s="6">
        <f t="shared" si="15"/>
        <v>10867.5</v>
      </c>
      <c r="L24" s="6">
        <f t="shared" si="15"/>
        <v>11902.5</v>
      </c>
      <c r="M24" s="6">
        <f t="shared" si="15"/>
        <v>12937.5</v>
      </c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23</v>
      </c>
      <c r="B25" s="6">
        <f t="shared" ref="B25:M25" si="16">B24-(B8*B15)</f>
        <v>282.375</v>
      </c>
      <c r="C25" s="6">
        <f t="shared" si="16"/>
        <v>658.875</v>
      </c>
      <c r="D25" s="6">
        <f t="shared" si="16"/>
        <v>1185.975</v>
      </c>
      <c r="E25" s="6">
        <f t="shared" si="16"/>
        <v>1863.675</v>
      </c>
      <c r="F25" s="6">
        <f t="shared" si="16"/>
        <v>2484.9</v>
      </c>
      <c r="G25" s="6">
        <f t="shared" si="16"/>
        <v>3181.425</v>
      </c>
      <c r="H25" s="6">
        <f t="shared" si="16"/>
        <v>3670.875</v>
      </c>
      <c r="I25" s="6">
        <f t="shared" si="16"/>
        <v>4480.35</v>
      </c>
      <c r="J25" s="6">
        <f t="shared" si="16"/>
        <v>5007.45</v>
      </c>
      <c r="K25" s="6">
        <f t="shared" si="16"/>
        <v>5929.875</v>
      </c>
      <c r="L25" s="6">
        <f t="shared" si="16"/>
        <v>6494.625</v>
      </c>
      <c r="M25" s="6">
        <f t="shared" si="16"/>
        <v>7059.375</v>
      </c>
      <c r="N25" s="3"/>
      <c r="O25" s="3"/>
      <c r="P25" s="3"/>
      <c r="Q25" s="3"/>
      <c r="R25" s="3"/>
      <c r="S25" s="3"/>
      <c r="T25" s="3"/>
      <c r="U25" s="3"/>
      <c r="V25" s="3"/>
    </row>
    <row r="26">
      <c r="A26" s="7" t="s">
        <v>24</v>
      </c>
      <c r="B26" s="5">
        <f t="shared" ref="B26:M26" si="17">B25-B12</f>
        <v>-388.805</v>
      </c>
      <c r="C26" s="5">
        <f t="shared" si="17"/>
        <v>-139.905</v>
      </c>
      <c r="D26" s="5">
        <f t="shared" si="17"/>
        <v>48.555</v>
      </c>
      <c r="E26" s="5">
        <f t="shared" si="17"/>
        <v>376.575</v>
      </c>
      <c r="F26" s="5">
        <f t="shared" si="17"/>
        <v>652.26</v>
      </c>
      <c r="G26" s="5">
        <f t="shared" si="17"/>
        <v>997.725</v>
      </c>
      <c r="H26" s="5">
        <f t="shared" si="17"/>
        <v>1151.295</v>
      </c>
      <c r="I26" s="5">
        <f t="shared" si="17"/>
        <v>1601.43</v>
      </c>
      <c r="J26" s="5">
        <f t="shared" si="17"/>
        <v>1789.89</v>
      </c>
      <c r="K26" s="5">
        <f t="shared" si="17"/>
        <v>2344.695</v>
      </c>
      <c r="L26" s="5">
        <f t="shared" si="17"/>
        <v>2568.045</v>
      </c>
      <c r="M26" s="5">
        <f t="shared" si="17"/>
        <v>2791.395</v>
      </c>
      <c r="N26" s="33"/>
      <c r="O26" s="33"/>
      <c r="P26" s="33"/>
      <c r="Q26" s="33"/>
      <c r="R26" s="33"/>
      <c r="S26" s="33"/>
      <c r="T26" s="33"/>
      <c r="U26" s="33"/>
      <c r="V26" s="33"/>
    </row>
    <row r="27">
      <c r="A27" s="4" t="s">
        <v>25</v>
      </c>
      <c r="B27" s="14"/>
      <c r="C27" s="14"/>
      <c r="D27" s="15">
        <v>0.15</v>
      </c>
      <c r="E27" s="15">
        <v>0.15</v>
      </c>
      <c r="F27" s="15">
        <v>0.15</v>
      </c>
      <c r="G27" s="15">
        <v>0.15</v>
      </c>
      <c r="H27" s="15">
        <v>0.15</v>
      </c>
      <c r="I27" s="15">
        <v>0.15</v>
      </c>
      <c r="J27" s="15">
        <v>0.15</v>
      </c>
      <c r="K27" s="15">
        <v>0.15</v>
      </c>
      <c r="L27" s="15">
        <v>0.15</v>
      </c>
      <c r="M27" s="15">
        <v>0.15</v>
      </c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26</v>
      </c>
      <c r="B28" s="14"/>
      <c r="C28" s="14"/>
      <c r="D28" s="6">
        <f t="shared" ref="D28:M28" si="18">(B9*D22)+(B9*D27*D22)</f>
        <v>324.73125</v>
      </c>
      <c r="E28" s="6">
        <f t="shared" si="18"/>
        <v>757.70625</v>
      </c>
      <c r="F28" s="6">
        <f t="shared" si="18"/>
        <v>1363.87125</v>
      </c>
      <c r="G28" s="6">
        <f t="shared" si="18"/>
        <v>2143.22625</v>
      </c>
      <c r="H28" s="6">
        <f t="shared" si="18"/>
        <v>2857.635</v>
      </c>
      <c r="I28" s="6">
        <f t="shared" si="18"/>
        <v>3658.63875</v>
      </c>
      <c r="J28" s="6">
        <f t="shared" si="18"/>
        <v>4221.50625</v>
      </c>
      <c r="K28" s="6">
        <f t="shared" si="18"/>
        <v>5152.4025</v>
      </c>
      <c r="L28" s="6">
        <f t="shared" si="18"/>
        <v>5758.5675</v>
      </c>
      <c r="M28" s="6">
        <f t="shared" si="18"/>
        <v>6819.35625</v>
      </c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27</v>
      </c>
      <c r="B29" s="14"/>
      <c r="C29" s="14"/>
      <c r="D29" s="14"/>
      <c r="E29" s="14"/>
      <c r="F29" s="15">
        <v>0.08</v>
      </c>
      <c r="G29" s="15">
        <v>0.08</v>
      </c>
      <c r="H29" s="15">
        <v>0.08</v>
      </c>
      <c r="I29" s="15">
        <v>0.08</v>
      </c>
      <c r="J29" s="15">
        <v>0.08</v>
      </c>
      <c r="K29" s="15">
        <v>0.08</v>
      </c>
      <c r="L29" s="15">
        <v>0.08</v>
      </c>
      <c r="M29" s="15">
        <v>0.08</v>
      </c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28</v>
      </c>
      <c r="B30" s="14"/>
      <c r="C30" s="14"/>
      <c r="D30" s="14"/>
      <c r="E30" s="14"/>
      <c r="F30" s="6">
        <f t="shared" ref="F30:M30" si="19">(B9*F15)+(B9*F27*F29*F22)</f>
        <v>238.5135</v>
      </c>
      <c r="G30" s="6">
        <f t="shared" si="19"/>
        <v>556.5315</v>
      </c>
      <c r="H30" s="6">
        <f t="shared" si="19"/>
        <v>1001.7567</v>
      </c>
      <c r="I30" s="6">
        <f t="shared" si="19"/>
        <v>1574.1891</v>
      </c>
      <c r="J30" s="6">
        <f t="shared" si="19"/>
        <v>2098.9188</v>
      </c>
      <c r="K30" s="6">
        <f t="shared" si="19"/>
        <v>2687.2521</v>
      </c>
      <c r="L30" s="6">
        <f t="shared" si="19"/>
        <v>3100.6755</v>
      </c>
      <c r="M30" s="6">
        <f t="shared" si="19"/>
        <v>3784.4142</v>
      </c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29</v>
      </c>
      <c r="B31" s="16">
        <f t="shared" ref="B31:M31" si="20">(B30+B28)-B12</f>
        <v>-671.18</v>
      </c>
      <c r="C31" s="16">
        <f t="shared" si="20"/>
        <v>-798.78</v>
      </c>
      <c r="D31" s="16">
        <f t="shared" si="20"/>
        <v>-812.68875</v>
      </c>
      <c r="E31" s="16">
        <f t="shared" si="20"/>
        <v>-729.39375</v>
      </c>
      <c r="F31" s="16">
        <f t="shared" si="20"/>
        <v>-230.25525</v>
      </c>
      <c r="G31" s="16">
        <f t="shared" si="20"/>
        <v>516.05775</v>
      </c>
      <c r="H31" s="16">
        <f t="shared" si="20"/>
        <v>1339.8117</v>
      </c>
      <c r="I31" s="16">
        <f t="shared" si="20"/>
        <v>2353.90785</v>
      </c>
      <c r="J31" s="16">
        <f t="shared" si="20"/>
        <v>3102.86505</v>
      </c>
      <c r="K31" s="16">
        <f t="shared" si="20"/>
        <v>4254.4746</v>
      </c>
      <c r="L31" s="16">
        <f t="shared" si="20"/>
        <v>4932.663</v>
      </c>
      <c r="M31" s="16">
        <f t="shared" si="20"/>
        <v>6335.79045</v>
      </c>
      <c r="N31" s="3"/>
      <c r="O31" s="3"/>
      <c r="P31" s="3"/>
      <c r="Q31" s="3"/>
      <c r="R31" s="3"/>
      <c r="S31" s="3"/>
      <c r="T31" s="3"/>
      <c r="U31" s="3"/>
      <c r="V31" s="3"/>
    </row>
    <row r="32">
      <c r="A32" s="17" t="s">
        <v>30</v>
      </c>
      <c r="N32" s="3"/>
      <c r="O32" s="3"/>
      <c r="P32" s="3"/>
      <c r="Q32" s="3"/>
      <c r="R32" s="3"/>
      <c r="S32" s="3"/>
      <c r="T32" s="3"/>
      <c r="U32" s="3"/>
      <c r="V32" s="3"/>
    </row>
    <row r="33">
      <c r="A33" s="7" t="s">
        <v>31</v>
      </c>
      <c r="B33" s="5">
        <v>5.0</v>
      </c>
      <c r="C33" s="5">
        <v>10.0</v>
      </c>
      <c r="D33" s="5">
        <v>15.0</v>
      </c>
      <c r="E33" s="5">
        <v>20.0</v>
      </c>
      <c r="F33" s="5">
        <v>25.0</v>
      </c>
      <c r="G33" s="5">
        <v>30.0</v>
      </c>
      <c r="H33" s="5">
        <v>35.0</v>
      </c>
      <c r="I33" s="5">
        <v>40.0</v>
      </c>
      <c r="J33" s="5">
        <v>45.0</v>
      </c>
      <c r="K33" s="5">
        <v>50.0</v>
      </c>
      <c r="L33" s="5">
        <v>55.0</v>
      </c>
      <c r="M33" s="5">
        <v>60.0</v>
      </c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32</v>
      </c>
      <c r="B34" s="6">
        <f t="shared" ref="B34:M34" si="21">B8*B33/100</f>
        <v>1.125</v>
      </c>
      <c r="C34" s="6">
        <f t="shared" si="21"/>
        <v>5.25</v>
      </c>
      <c r="D34" s="6">
        <f t="shared" si="21"/>
        <v>14.175</v>
      </c>
      <c r="E34" s="6">
        <f t="shared" si="21"/>
        <v>29.7</v>
      </c>
      <c r="F34" s="6">
        <f t="shared" si="21"/>
        <v>49.5</v>
      </c>
      <c r="G34" s="6">
        <f t="shared" si="21"/>
        <v>76.05</v>
      </c>
      <c r="H34" s="6">
        <f t="shared" si="21"/>
        <v>102.375</v>
      </c>
      <c r="I34" s="6">
        <f t="shared" si="21"/>
        <v>142.8</v>
      </c>
      <c r="J34" s="6">
        <f t="shared" si="21"/>
        <v>179.55</v>
      </c>
      <c r="K34" s="6">
        <f t="shared" si="21"/>
        <v>236.25</v>
      </c>
      <c r="L34" s="6">
        <f t="shared" si="21"/>
        <v>284.625</v>
      </c>
      <c r="M34" s="6">
        <f t="shared" si="21"/>
        <v>337.5</v>
      </c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33</v>
      </c>
      <c r="B35" s="6">
        <f t="shared" ref="B35:M35" si="22">B34</f>
        <v>1.125</v>
      </c>
      <c r="C35" s="6">
        <f t="shared" si="22"/>
        <v>5.25</v>
      </c>
      <c r="D35" s="6">
        <f t="shared" si="22"/>
        <v>14.175</v>
      </c>
      <c r="E35" s="6">
        <f t="shared" si="22"/>
        <v>29.7</v>
      </c>
      <c r="F35" s="6">
        <f t="shared" si="22"/>
        <v>49.5</v>
      </c>
      <c r="G35" s="6">
        <f t="shared" si="22"/>
        <v>76.05</v>
      </c>
      <c r="H35" s="6">
        <f t="shared" si="22"/>
        <v>102.375</v>
      </c>
      <c r="I35" s="6">
        <f t="shared" si="22"/>
        <v>142.8</v>
      </c>
      <c r="J35" s="6">
        <f t="shared" si="22"/>
        <v>179.55</v>
      </c>
      <c r="K35" s="6">
        <f t="shared" si="22"/>
        <v>236.25</v>
      </c>
      <c r="L35" s="6">
        <f t="shared" si="22"/>
        <v>284.625</v>
      </c>
      <c r="M35" s="6">
        <f t="shared" si="22"/>
        <v>337.5</v>
      </c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34</v>
      </c>
      <c r="B36" s="6">
        <f t="shared" ref="B36:M36" si="23">B37+B38</f>
        <v>10.45</v>
      </c>
      <c r="C36" s="6">
        <f t="shared" si="23"/>
        <v>10.45</v>
      </c>
      <c r="D36" s="6">
        <f t="shared" si="23"/>
        <v>10.45</v>
      </c>
      <c r="E36" s="6">
        <f t="shared" si="23"/>
        <v>10.45</v>
      </c>
      <c r="F36" s="6">
        <f t="shared" si="23"/>
        <v>10.45</v>
      </c>
      <c r="G36" s="6">
        <f t="shared" si="23"/>
        <v>10.45</v>
      </c>
      <c r="H36" s="6">
        <f t="shared" si="23"/>
        <v>10.45</v>
      </c>
      <c r="I36" s="6">
        <f t="shared" si="23"/>
        <v>10.45</v>
      </c>
      <c r="J36" s="6">
        <f t="shared" si="23"/>
        <v>10.45</v>
      </c>
      <c r="K36" s="6">
        <f t="shared" si="23"/>
        <v>10.45</v>
      </c>
      <c r="L36" s="6">
        <f t="shared" si="23"/>
        <v>10.45</v>
      </c>
      <c r="M36" s="6">
        <f t="shared" si="23"/>
        <v>10.45</v>
      </c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14</v>
      </c>
      <c r="B37" s="5">
        <f t="shared" ref="B37:M37" si="24">B16</f>
        <v>4</v>
      </c>
      <c r="C37" s="5">
        <f t="shared" si="24"/>
        <v>4</v>
      </c>
      <c r="D37" s="5">
        <f t="shared" si="24"/>
        <v>4</v>
      </c>
      <c r="E37" s="5">
        <f t="shared" si="24"/>
        <v>4</v>
      </c>
      <c r="F37" s="5">
        <f t="shared" si="24"/>
        <v>4</v>
      </c>
      <c r="G37" s="5">
        <f t="shared" si="24"/>
        <v>4</v>
      </c>
      <c r="H37" s="5">
        <f t="shared" si="24"/>
        <v>4</v>
      </c>
      <c r="I37" s="5">
        <f t="shared" si="24"/>
        <v>4</v>
      </c>
      <c r="J37" s="5">
        <f t="shared" si="24"/>
        <v>4</v>
      </c>
      <c r="K37" s="5">
        <f t="shared" si="24"/>
        <v>4</v>
      </c>
      <c r="L37" s="5">
        <f t="shared" si="24"/>
        <v>4</v>
      </c>
      <c r="M37" s="5">
        <f t="shared" si="24"/>
        <v>4</v>
      </c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15</v>
      </c>
      <c r="B38" s="6">
        <f t="shared" ref="B38:M38" si="25">B17</f>
        <v>6.45</v>
      </c>
      <c r="C38" s="6">
        <f t="shared" si="25"/>
        <v>6.45</v>
      </c>
      <c r="D38" s="6">
        <f t="shared" si="25"/>
        <v>6.45</v>
      </c>
      <c r="E38" s="6">
        <f t="shared" si="25"/>
        <v>6.45</v>
      </c>
      <c r="F38" s="6">
        <f t="shared" si="25"/>
        <v>6.45</v>
      </c>
      <c r="G38" s="6">
        <f t="shared" si="25"/>
        <v>6.45</v>
      </c>
      <c r="H38" s="6">
        <f t="shared" si="25"/>
        <v>6.45</v>
      </c>
      <c r="I38" s="6">
        <f t="shared" si="25"/>
        <v>6.45</v>
      </c>
      <c r="J38" s="6">
        <f t="shared" si="25"/>
        <v>6.45</v>
      </c>
      <c r="K38" s="6">
        <f t="shared" si="25"/>
        <v>6.45</v>
      </c>
      <c r="L38" s="6">
        <f t="shared" si="25"/>
        <v>6.45</v>
      </c>
      <c r="M38" s="6">
        <f t="shared" si="25"/>
        <v>6.45</v>
      </c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16</v>
      </c>
      <c r="B39" s="6">
        <f t="shared" ref="B39:M39" si="26">B18</f>
        <v>3</v>
      </c>
      <c r="C39" s="6">
        <f t="shared" si="26"/>
        <v>3</v>
      </c>
      <c r="D39" s="6">
        <f t="shared" si="26"/>
        <v>3</v>
      </c>
      <c r="E39" s="6">
        <f t="shared" si="26"/>
        <v>3</v>
      </c>
      <c r="F39" s="6">
        <f t="shared" si="26"/>
        <v>3</v>
      </c>
      <c r="G39" s="6">
        <f t="shared" si="26"/>
        <v>3</v>
      </c>
      <c r="H39" s="6">
        <f t="shared" si="26"/>
        <v>3</v>
      </c>
      <c r="I39" s="6">
        <f t="shared" si="26"/>
        <v>3</v>
      </c>
      <c r="J39" s="6">
        <f t="shared" si="26"/>
        <v>3</v>
      </c>
      <c r="K39" s="6">
        <f t="shared" si="26"/>
        <v>3</v>
      </c>
      <c r="L39" s="6">
        <f t="shared" si="26"/>
        <v>3</v>
      </c>
      <c r="M39" s="6">
        <f t="shared" si="26"/>
        <v>3</v>
      </c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17</v>
      </c>
      <c r="B40" s="6">
        <f t="shared" ref="B40:M40" si="27">B19</f>
        <v>3.45</v>
      </c>
      <c r="C40" s="6">
        <f t="shared" si="27"/>
        <v>3.45</v>
      </c>
      <c r="D40" s="6">
        <f t="shared" si="27"/>
        <v>3.45</v>
      </c>
      <c r="E40" s="6">
        <f t="shared" si="27"/>
        <v>3.45</v>
      </c>
      <c r="F40" s="6">
        <f t="shared" si="27"/>
        <v>3.45</v>
      </c>
      <c r="G40" s="6">
        <f t="shared" si="27"/>
        <v>3.45</v>
      </c>
      <c r="H40" s="6">
        <f t="shared" si="27"/>
        <v>3.45</v>
      </c>
      <c r="I40" s="6">
        <f t="shared" si="27"/>
        <v>3.45</v>
      </c>
      <c r="J40" s="6">
        <f t="shared" si="27"/>
        <v>3.45</v>
      </c>
      <c r="K40" s="6">
        <f t="shared" si="27"/>
        <v>3.45</v>
      </c>
      <c r="L40" s="6">
        <f t="shared" si="27"/>
        <v>3.45</v>
      </c>
      <c r="M40" s="6">
        <f t="shared" si="27"/>
        <v>3.45</v>
      </c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18</v>
      </c>
      <c r="B41" s="5">
        <f t="shared" ref="B41:M41" si="28">B20</f>
        <v>23</v>
      </c>
      <c r="C41" s="5">
        <f t="shared" si="28"/>
        <v>23</v>
      </c>
      <c r="D41" s="5">
        <f t="shared" si="28"/>
        <v>23</v>
      </c>
      <c r="E41" s="5">
        <f t="shared" si="28"/>
        <v>23</v>
      </c>
      <c r="F41" s="5">
        <f t="shared" si="28"/>
        <v>23</v>
      </c>
      <c r="G41" s="5">
        <f t="shared" si="28"/>
        <v>23</v>
      </c>
      <c r="H41" s="5">
        <f t="shared" si="28"/>
        <v>23</v>
      </c>
      <c r="I41" s="5">
        <f t="shared" si="28"/>
        <v>23</v>
      </c>
      <c r="J41" s="5">
        <f t="shared" si="28"/>
        <v>23</v>
      </c>
      <c r="K41" s="5">
        <f t="shared" si="28"/>
        <v>23</v>
      </c>
      <c r="L41" s="5">
        <f t="shared" si="28"/>
        <v>23</v>
      </c>
      <c r="M41" s="5">
        <f t="shared" si="28"/>
        <v>23</v>
      </c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35</v>
      </c>
      <c r="B42" s="6">
        <f t="shared" ref="B42:M42" si="29">B41-B36</f>
        <v>12.55</v>
      </c>
      <c r="C42" s="6">
        <f t="shared" si="29"/>
        <v>12.55</v>
      </c>
      <c r="D42" s="6">
        <f t="shared" si="29"/>
        <v>12.55</v>
      </c>
      <c r="E42" s="6">
        <f t="shared" si="29"/>
        <v>12.55</v>
      </c>
      <c r="F42" s="6">
        <f t="shared" si="29"/>
        <v>12.55</v>
      </c>
      <c r="G42" s="6">
        <f t="shared" si="29"/>
        <v>12.55</v>
      </c>
      <c r="H42" s="6">
        <f t="shared" si="29"/>
        <v>12.55</v>
      </c>
      <c r="I42" s="6">
        <f t="shared" si="29"/>
        <v>12.55</v>
      </c>
      <c r="J42" s="6">
        <f t="shared" si="29"/>
        <v>12.55</v>
      </c>
      <c r="K42" s="6">
        <f t="shared" si="29"/>
        <v>12.55</v>
      </c>
      <c r="L42" s="6">
        <f t="shared" si="29"/>
        <v>12.55</v>
      </c>
      <c r="M42" s="6">
        <f t="shared" si="29"/>
        <v>12.55</v>
      </c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22</v>
      </c>
      <c r="B43" s="6">
        <f t="shared" ref="B43:M43" si="30">B41*B34</f>
        <v>25.875</v>
      </c>
      <c r="C43" s="6">
        <f t="shared" si="30"/>
        <v>120.75</v>
      </c>
      <c r="D43" s="6">
        <f t="shared" si="30"/>
        <v>326.025</v>
      </c>
      <c r="E43" s="6">
        <f t="shared" si="30"/>
        <v>683.1</v>
      </c>
      <c r="F43" s="6">
        <f t="shared" si="30"/>
        <v>1138.5</v>
      </c>
      <c r="G43" s="6">
        <f t="shared" si="30"/>
        <v>1749.15</v>
      </c>
      <c r="H43" s="6">
        <f t="shared" si="30"/>
        <v>2354.625</v>
      </c>
      <c r="I43" s="6">
        <f t="shared" si="30"/>
        <v>3284.4</v>
      </c>
      <c r="J43" s="6">
        <f t="shared" si="30"/>
        <v>4129.65</v>
      </c>
      <c r="K43" s="6">
        <f t="shared" si="30"/>
        <v>5433.75</v>
      </c>
      <c r="L43" s="6">
        <f t="shared" si="30"/>
        <v>6546.375</v>
      </c>
      <c r="M43" s="6">
        <f t="shared" si="30"/>
        <v>7762.5</v>
      </c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23</v>
      </c>
      <c r="B44" s="6">
        <f t="shared" ref="B44:M44" si="31">B34*(B41-B36)</f>
        <v>14.11875</v>
      </c>
      <c r="C44" s="6">
        <f t="shared" si="31"/>
        <v>65.8875</v>
      </c>
      <c r="D44" s="6">
        <f t="shared" si="31"/>
        <v>177.89625</v>
      </c>
      <c r="E44" s="6">
        <f t="shared" si="31"/>
        <v>372.735</v>
      </c>
      <c r="F44" s="6">
        <f t="shared" si="31"/>
        <v>621.225</v>
      </c>
      <c r="G44" s="6">
        <f t="shared" si="31"/>
        <v>954.4275</v>
      </c>
      <c r="H44" s="6">
        <f t="shared" si="31"/>
        <v>1284.80625</v>
      </c>
      <c r="I44" s="6">
        <f t="shared" si="31"/>
        <v>1792.14</v>
      </c>
      <c r="J44" s="6">
        <f t="shared" si="31"/>
        <v>2253.3525</v>
      </c>
      <c r="K44" s="6">
        <f t="shared" si="31"/>
        <v>2964.9375</v>
      </c>
      <c r="L44" s="6">
        <f t="shared" si="31"/>
        <v>3572.04375</v>
      </c>
      <c r="M44" s="6">
        <f t="shared" si="31"/>
        <v>4235.625</v>
      </c>
      <c r="N44" s="3"/>
      <c r="O44" s="3"/>
      <c r="P44" s="3"/>
      <c r="Q44" s="3"/>
      <c r="R44" s="3"/>
      <c r="S44" s="3"/>
      <c r="T44" s="3"/>
      <c r="U44" s="3"/>
      <c r="V44" s="3"/>
    </row>
    <row r="45">
      <c r="A45" s="7" t="s">
        <v>36</v>
      </c>
      <c r="B45" s="5">
        <f t="shared" ref="B45:M45" si="32">B42*B34-3%</f>
        <v>14.08875</v>
      </c>
      <c r="C45" s="5">
        <f t="shared" si="32"/>
        <v>65.8575</v>
      </c>
      <c r="D45" s="5">
        <f t="shared" si="32"/>
        <v>177.86625</v>
      </c>
      <c r="E45" s="5">
        <f t="shared" si="32"/>
        <v>372.705</v>
      </c>
      <c r="F45" s="5">
        <f t="shared" si="32"/>
        <v>621.195</v>
      </c>
      <c r="G45" s="5">
        <f t="shared" si="32"/>
        <v>954.3975</v>
      </c>
      <c r="H45" s="5">
        <f t="shared" si="32"/>
        <v>1284.77625</v>
      </c>
      <c r="I45" s="5">
        <f t="shared" si="32"/>
        <v>1792.11</v>
      </c>
      <c r="J45" s="5">
        <f t="shared" si="32"/>
        <v>2253.3225</v>
      </c>
      <c r="K45" s="5">
        <f t="shared" si="32"/>
        <v>2964.9075</v>
      </c>
      <c r="L45" s="5">
        <f t="shared" si="32"/>
        <v>3572.01375</v>
      </c>
      <c r="M45" s="5">
        <f t="shared" si="32"/>
        <v>4235.595</v>
      </c>
      <c r="N45" s="33"/>
      <c r="O45" s="33"/>
      <c r="P45" s="33"/>
      <c r="Q45" s="33"/>
      <c r="R45" s="33"/>
      <c r="S45" s="33"/>
      <c r="T45" s="33"/>
      <c r="U45" s="33"/>
      <c r="V45" s="33"/>
    </row>
    <row r="46">
      <c r="A46" s="4" t="s">
        <v>25</v>
      </c>
      <c r="B46" s="14"/>
      <c r="C46" s="14"/>
      <c r="D46" s="6">
        <v>0.3</v>
      </c>
      <c r="E46" s="6">
        <v>0.3</v>
      </c>
      <c r="F46" s="6">
        <v>0.3</v>
      </c>
      <c r="G46" s="6">
        <v>0.3</v>
      </c>
      <c r="H46" s="6">
        <v>0.3</v>
      </c>
      <c r="I46" s="6">
        <v>0.3</v>
      </c>
      <c r="J46" s="6">
        <v>0.3</v>
      </c>
      <c r="K46" s="6">
        <v>0.3</v>
      </c>
      <c r="L46" s="6">
        <v>0.3</v>
      </c>
      <c r="M46" s="6">
        <v>0.3</v>
      </c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26</v>
      </c>
      <c r="B47" s="14"/>
      <c r="C47" s="14"/>
      <c r="D47" s="6">
        <f t="shared" ref="D47:M47" si="33">(D42*(1+D46))*B35</f>
        <v>18.354375</v>
      </c>
      <c r="E47" s="6">
        <f t="shared" si="33"/>
        <v>85.65375</v>
      </c>
      <c r="F47" s="6">
        <f t="shared" si="33"/>
        <v>231.265125</v>
      </c>
      <c r="G47" s="6">
        <f t="shared" si="33"/>
        <v>484.5555</v>
      </c>
      <c r="H47" s="6">
        <f t="shared" si="33"/>
        <v>807.5925</v>
      </c>
      <c r="I47" s="6">
        <f t="shared" si="33"/>
        <v>1240.75575</v>
      </c>
      <c r="J47" s="6">
        <f t="shared" si="33"/>
        <v>1670.248125</v>
      </c>
      <c r="K47" s="6">
        <f t="shared" si="33"/>
        <v>2329.782</v>
      </c>
      <c r="L47" s="6">
        <f t="shared" si="33"/>
        <v>2929.35825</v>
      </c>
      <c r="M47" s="6">
        <f t="shared" si="33"/>
        <v>3854.41875</v>
      </c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27</v>
      </c>
      <c r="B48" s="14"/>
      <c r="C48" s="14"/>
      <c r="D48" s="14"/>
      <c r="E48" s="14"/>
      <c r="F48" s="6">
        <v>0.2</v>
      </c>
      <c r="G48" s="6">
        <v>0.2</v>
      </c>
      <c r="H48" s="6">
        <v>0.2</v>
      </c>
      <c r="I48" s="6">
        <v>0.2</v>
      </c>
      <c r="J48" s="6">
        <v>0.2</v>
      </c>
      <c r="K48" s="6">
        <v>0.2</v>
      </c>
      <c r="L48" s="6">
        <v>0.2</v>
      </c>
      <c r="M48" s="6">
        <v>0.2</v>
      </c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28</v>
      </c>
      <c r="B49" s="14"/>
      <c r="C49" s="14"/>
      <c r="D49" s="14"/>
      <c r="E49" s="14"/>
      <c r="F49" s="6">
        <f t="shared" ref="F49:M49" si="34">(F42*(1+F46+F48)*B35)</f>
        <v>21.178125</v>
      </c>
      <c r="G49" s="6">
        <f t="shared" si="34"/>
        <v>98.83125</v>
      </c>
      <c r="H49" s="6">
        <f t="shared" si="34"/>
        <v>266.844375</v>
      </c>
      <c r="I49" s="6">
        <f t="shared" si="34"/>
        <v>559.1025</v>
      </c>
      <c r="J49" s="6">
        <f t="shared" si="34"/>
        <v>931.8375</v>
      </c>
      <c r="K49" s="6">
        <f t="shared" si="34"/>
        <v>1431.64125</v>
      </c>
      <c r="L49" s="6">
        <f t="shared" si="34"/>
        <v>1927.209375</v>
      </c>
      <c r="M49" s="6">
        <f t="shared" si="34"/>
        <v>2688.21</v>
      </c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29</v>
      </c>
      <c r="B50" s="16">
        <f t="shared" ref="B50:M50" si="35">(B49+B47)</f>
        <v>0</v>
      </c>
      <c r="C50" s="16">
        <f t="shared" si="35"/>
        <v>0</v>
      </c>
      <c r="D50" s="16">
        <f t="shared" si="35"/>
        <v>18.354375</v>
      </c>
      <c r="E50" s="16">
        <f t="shared" si="35"/>
        <v>85.65375</v>
      </c>
      <c r="F50" s="16">
        <f t="shared" si="35"/>
        <v>252.44325</v>
      </c>
      <c r="G50" s="16">
        <f t="shared" si="35"/>
        <v>583.38675</v>
      </c>
      <c r="H50" s="16">
        <f t="shared" si="35"/>
        <v>1074.436875</v>
      </c>
      <c r="I50" s="16">
        <f t="shared" si="35"/>
        <v>1799.85825</v>
      </c>
      <c r="J50" s="16">
        <f t="shared" si="35"/>
        <v>2602.085625</v>
      </c>
      <c r="K50" s="16">
        <f t="shared" si="35"/>
        <v>3761.42325</v>
      </c>
      <c r="L50" s="16">
        <f t="shared" si="35"/>
        <v>4856.567625</v>
      </c>
      <c r="M50" s="16">
        <f t="shared" si="35"/>
        <v>6542.62875</v>
      </c>
      <c r="N50" s="3"/>
      <c r="O50" s="3"/>
      <c r="P50" s="3"/>
      <c r="Q50" s="3"/>
      <c r="R50" s="3"/>
      <c r="S50" s="3"/>
      <c r="T50" s="3"/>
      <c r="U50" s="3"/>
      <c r="V50" s="3"/>
    </row>
    <row r="51">
      <c r="A51" s="18" t="s">
        <v>37</v>
      </c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38</v>
      </c>
      <c r="B52" s="6">
        <f t="shared" ref="B52:M52" si="36">B8+B34</f>
        <v>23.625</v>
      </c>
      <c r="C52" s="6">
        <f t="shared" si="36"/>
        <v>57.75</v>
      </c>
      <c r="D52" s="6">
        <f t="shared" si="36"/>
        <v>108.675</v>
      </c>
      <c r="E52" s="6">
        <f t="shared" si="36"/>
        <v>178.2</v>
      </c>
      <c r="F52" s="6">
        <f t="shared" si="36"/>
        <v>247.5</v>
      </c>
      <c r="G52" s="6">
        <f t="shared" si="36"/>
        <v>329.55</v>
      </c>
      <c r="H52" s="6">
        <f t="shared" si="36"/>
        <v>394.875</v>
      </c>
      <c r="I52" s="6">
        <f t="shared" si="36"/>
        <v>499.8</v>
      </c>
      <c r="J52" s="6">
        <f t="shared" si="36"/>
        <v>578.55</v>
      </c>
      <c r="K52" s="6">
        <f t="shared" si="36"/>
        <v>708.75</v>
      </c>
      <c r="L52" s="6">
        <f t="shared" si="36"/>
        <v>802.125</v>
      </c>
      <c r="M52" s="6">
        <f t="shared" si="36"/>
        <v>900</v>
      </c>
      <c r="N52" s="3"/>
      <c r="O52" s="3"/>
      <c r="P52" s="3"/>
      <c r="Q52" s="3"/>
      <c r="R52" s="3"/>
      <c r="S52" s="3"/>
      <c r="T52" s="3"/>
      <c r="U52" s="3"/>
      <c r="V52" s="3"/>
    </row>
    <row r="53">
      <c r="A53" s="19" t="s">
        <v>23</v>
      </c>
      <c r="B53" s="20">
        <f t="shared" ref="B53:M53" si="37">B25+B44</f>
        <v>296.49375</v>
      </c>
      <c r="C53" s="20">
        <f t="shared" si="37"/>
        <v>724.7625</v>
      </c>
      <c r="D53" s="20">
        <f t="shared" si="37"/>
        <v>1363.87125</v>
      </c>
      <c r="E53" s="20">
        <f t="shared" si="37"/>
        <v>2236.41</v>
      </c>
      <c r="F53" s="20">
        <f t="shared" si="37"/>
        <v>3106.125</v>
      </c>
      <c r="G53" s="20">
        <f t="shared" si="37"/>
        <v>4135.8525</v>
      </c>
      <c r="H53" s="20">
        <f t="shared" si="37"/>
        <v>4955.68125</v>
      </c>
      <c r="I53" s="20">
        <f t="shared" si="37"/>
        <v>6272.49</v>
      </c>
      <c r="J53" s="20">
        <f t="shared" si="37"/>
        <v>7260.8025</v>
      </c>
      <c r="K53" s="20">
        <f t="shared" si="37"/>
        <v>8894.8125</v>
      </c>
      <c r="L53" s="20">
        <f t="shared" si="37"/>
        <v>10066.66875</v>
      </c>
      <c r="M53" s="20">
        <f t="shared" si="37"/>
        <v>11295</v>
      </c>
      <c r="N53" s="3"/>
      <c r="O53" s="3"/>
      <c r="P53" s="3"/>
      <c r="Q53" s="3"/>
      <c r="R53" s="3"/>
      <c r="S53" s="3"/>
      <c r="T53" s="3"/>
      <c r="U53" s="3"/>
      <c r="V53" s="3"/>
    </row>
    <row r="54">
      <c r="A54" s="34" t="s">
        <v>39</v>
      </c>
      <c r="B54" s="5">
        <f t="shared" ref="B54:M54" si="38">B26+B45</f>
        <v>-374.71625</v>
      </c>
      <c r="C54" s="5">
        <f t="shared" si="38"/>
        <v>-74.0475</v>
      </c>
      <c r="D54" s="5">
        <f t="shared" si="38"/>
        <v>226.42125</v>
      </c>
      <c r="E54" s="5">
        <f t="shared" si="38"/>
        <v>749.28</v>
      </c>
      <c r="F54" s="5">
        <f t="shared" si="38"/>
        <v>1273.455</v>
      </c>
      <c r="G54" s="5">
        <f t="shared" si="38"/>
        <v>1952.1225</v>
      </c>
      <c r="H54" s="5">
        <f t="shared" si="38"/>
        <v>2436.07125</v>
      </c>
      <c r="I54" s="5">
        <f t="shared" si="38"/>
        <v>3393.54</v>
      </c>
      <c r="J54" s="5">
        <f t="shared" si="38"/>
        <v>4043.2125</v>
      </c>
      <c r="K54" s="5">
        <f t="shared" si="38"/>
        <v>5309.6025</v>
      </c>
      <c r="L54" s="5">
        <f t="shared" si="38"/>
        <v>6140.05875</v>
      </c>
      <c r="M54" s="5">
        <f t="shared" si="38"/>
        <v>7026.99</v>
      </c>
      <c r="N54" s="33"/>
      <c r="O54" s="33"/>
      <c r="P54" s="33"/>
      <c r="Q54" s="33"/>
      <c r="R54" s="33"/>
      <c r="S54" s="33"/>
      <c r="T54" s="33"/>
      <c r="U54" s="33"/>
      <c r="V54" s="33"/>
    </row>
    <row r="55">
      <c r="A55" s="4" t="s">
        <v>22</v>
      </c>
      <c r="B55" s="6">
        <f t="shared" ref="B55:M55" si="39">B43+B24</f>
        <v>543.375</v>
      </c>
      <c r="C55" s="6">
        <f t="shared" si="39"/>
        <v>1328.25</v>
      </c>
      <c r="D55" s="6">
        <f t="shared" si="39"/>
        <v>2499.525</v>
      </c>
      <c r="E55" s="6">
        <f t="shared" si="39"/>
        <v>4098.6</v>
      </c>
      <c r="F55" s="6">
        <f t="shared" si="39"/>
        <v>5692.5</v>
      </c>
      <c r="G55" s="6">
        <f t="shared" si="39"/>
        <v>7579.65</v>
      </c>
      <c r="H55" s="6">
        <f t="shared" si="39"/>
        <v>9082.125</v>
      </c>
      <c r="I55" s="6">
        <f t="shared" si="39"/>
        <v>11495.4</v>
      </c>
      <c r="J55" s="6">
        <f t="shared" si="39"/>
        <v>13306.65</v>
      </c>
      <c r="K55" s="6">
        <f t="shared" si="39"/>
        <v>16301.25</v>
      </c>
      <c r="L55" s="6">
        <f t="shared" si="39"/>
        <v>18448.875</v>
      </c>
      <c r="M55" s="6">
        <f t="shared" si="39"/>
        <v>20700</v>
      </c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40</v>
      </c>
      <c r="B56" s="6">
        <f t="shared" ref="B56:M56" si="40">B12/B55</f>
        <v>1.235205889</v>
      </c>
      <c r="C56" s="6">
        <f t="shared" si="40"/>
        <v>0.6013777527</v>
      </c>
      <c r="D56" s="6">
        <f t="shared" si="40"/>
        <v>0.4550544603</v>
      </c>
      <c r="E56" s="6">
        <f t="shared" si="40"/>
        <v>0.3628312107</v>
      </c>
      <c r="F56" s="6">
        <f t="shared" si="40"/>
        <v>0.3219393939</v>
      </c>
      <c r="G56" s="6">
        <f t="shared" si="40"/>
        <v>0.288100374</v>
      </c>
      <c r="H56" s="6">
        <f t="shared" si="40"/>
        <v>0.2774218589</v>
      </c>
      <c r="I56" s="6">
        <f t="shared" si="40"/>
        <v>0.250441046</v>
      </c>
      <c r="J56" s="6">
        <f t="shared" si="40"/>
        <v>0.2418009041</v>
      </c>
      <c r="K56" s="6">
        <f t="shared" si="40"/>
        <v>0.2199328272</v>
      </c>
      <c r="L56" s="6">
        <f t="shared" si="40"/>
        <v>0.212835742</v>
      </c>
      <c r="M56" s="6">
        <f t="shared" si="40"/>
        <v>0.2061826087</v>
      </c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26</v>
      </c>
      <c r="B57" s="6">
        <f t="shared" ref="B57:M57" si="41">B28+B47</f>
        <v>0</v>
      </c>
      <c r="C57" s="6">
        <f t="shared" si="41"/>
        <v>0</v>
      </c>
      <c r="D57" s="6">
        <f t="shared" si="41"/>
        <v>343.085625</v>
      </c>
      <c r="E57" s="6">
        <f t="shared" si="41"/>
        <v>843.36</v>
      </c>
      <c r="F57" s="6">
        <f t="shared" si="41"/>
        <v>1595.136375</v>
      </c>
      <c r="G57" s="6">
        <f t="shared" si="41"/>
        <v>2627.78175</v>
      </c>
      <c r="H57" s="6">
        <f t="shared" si="41"/>
        <v>3665.2275</v>
      </c>
      <c r="I57" s="6">
        <f t="shared" si="41"/>
        <v>4899.3945</v>
      </c>
      <c r="J57" s="6">
        <f t="shared" si="41"/>
        <v>5891.754375</v>
      </c>
      <c r="K57" s="6">
        <f t="shared" si="41"/>
        <v>7482.1845</v>
      </c>
      <c r="L57" s="6">
        <f t="shared" si="41"/>
        <v>8687.92575</v>
      </c>
      <c r="M57" s="6">
        <f t="shared" si="41"/>
        <v>10673.775</v>
      </c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28</v>
      </c>
      <c r="B58" s="6">
        <f t="shared" ref="B58:M58" si="42">B30+B49</f>
        <v>0</v>
      </c>
      <c r="C58" s="6">
        <f t="shared" si="42"/>
        <v>0</v>
      </c>
      <c r="D58" s="6">
        <f t="shared" si="42"/>
        <v>0</v>
      </c>
      <c r="E58" s="6">
        <f t="shared" si="42"/>
        <v>0</v>
      </c>
      <c r="F58" s="6">
        <f t="shared" si="42"/>
        <v>259.691625</v>
      </c>
      <c r="G58" s="6">
        <f t="shared" si="42"/>
        <v>655.36275</v>
      </c>
      <c r="H58" s="6">
        <f t="shared" si="42"/>
        <v>1268.601075</v>
      </c>
      <c r="I58" s="6">
        <f t="shared" si="42"/>
        <v>2133.2916</v>
      </c>
      <c r="J58" s="6">
        <f t="shared" si="42"/>
        <v>3030.7563</v>
      </c>
      <c r="K58" s="6">
        <f t="shared" si="42"/>
        <v>4118.89335</v>
      </c>
      <c r="L58" s="6">
        <f t="shared" si="42"/>
        <v>5027.884875</v>
      </c>
      <c r="M58" s="6">
        <f t="shared" si="42"/>
        <v>6472.6242</v>
      </c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29</v>
      </c>
      <c r="B59" s="6">
        <f t="shared" ref="B59:M59" si="43">B50+B31</f>
        <v>-671.18</v>
      </c>
      <c r="C59" s="6">
        <f t="shared" si="43"/>
        <v>-798.78</v>
      </c>
      <c r="D59" s="6">
        <f t="shared" si="43"/>
        <v>-794.334375</v>
      </c>
      <c r="E59" s="6">
        <f t="shared" si="43"/>
        <v>-643.74</v>
      </c>
      <c r="F59" s="6">
        <f t="shared" si="43"/>
        <v>22.188</v>
      </c>
      <c r="G59" s="6">
        <f t="shared" si="43"/>
        <v>1099.4445</v>
      </c>
      <c r="H59" s="6">
        <f t="shared" si="43"/>
        <v>2414.248575</v>
      </c>
      <c r="I59" s="6">
        <f t="shared" si="43"/>
        <v>4153.7661</v>
      </c>
      <c r="J59" s="6">
        <f t="shared" si="43"/>
        <v>5704.950675</v>
      </c>
      <c r="K59" s="6">
        <f t="shared" si="43"/>
        <v>8015.89785</v>
      </c>
      <c r="L59" s="6">
        <f t="shared" si="43"/>
        <v>9789.230625</v>
      </c>
      <c r="M59" s="6">
        <f t="shared" si="43"/>
        <v>12878.4192</v>
      </c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41</v>
      </c>
      <c r="B60" s="6">
        <f t="shared" ref="B60:M60" si="44">B59+B54</f>
        <v>-1045.89625</v>
      </c>
      <c r="C60" s="6">
        <f t="shared" si="44"/>
        <v>-872.8275</v>
      </c>
      <c r="D60" s="6">
        <f t="shared" si="44"/>
        <v>-567.913125</v>
      </c>
      <c r="E60" s="6">
        <f t="shared" si="44"/>
        <v>105.54</v>
      </c>
      <c r="F60" s="6">
        <f t="shared" si="44"/>
        <v>1295.643</v>
      </c>
      <c r="G60" s="6">
        <f t="shared" si="44"/>
        <v>3051.567</v>
      </c>
      <c r="H60" s="6">
        <f t="shared" si="44"/>
        <v>4850.319825</v>
      </c>
      <c r="I60" s="6">
        <f t="shared" si="44"/>
        <v>7547.3061</v>
      </c>
      <c r="J60" s="6">
        <f t="shared" si="44"/>
        <v>9748.163175</v>
      </c>
      <c r="K60" s="6">
        <f t="shared" si="44"/>
        <v>13325.50035</v>
      </c>
      <c r="L60" s="6">
        <f t="shared" si="44"/>
        <v>15929.28938</v>
      </c>
      <c r="M60" s="6">
        <f t="shared" si="44"/>
        <v>19905.4092</v>
      </c>
      <c r="N60" s="32">
        <f>SUM(B60:M60)</f>
        <v>73272.10115</v>
      </c>
      <c r="O60" s="3"/>
      <c r="P60" s="3"/>
      <c r="Q60" s="3"/>
      <c r="R60" s="3"/>
      <c r="S60" s="3"/>
      <c r="T60" s="3"/>
      <c r="U60" s="3"/>
      <c r="V60" s="3"/>
    </row>
    <row r="6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2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2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2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2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2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2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2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</sheetData>
  <mergeCells count="3">
    <mergeCell ref="A1:M1"/>
    <mergeCell ref="A32:M32"/>
    <mergeCell ref="A51:M51"/>
  </mergeCells>
  <drawing r:id="rId1"/>
</worksheet>
</file>